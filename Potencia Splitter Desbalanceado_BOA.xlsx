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\Desktop\"/>
    </mc:Choice>
  </mc:AlternateContent>
  <bookViews>
    <workbookView xWindow="0" yWindow="0" windowWidth="20490" windowHeight="7530"/>
  </bookViews>
  <sheets>
    <sheet name="Plan1" sheetId="1" r:id="rId1"/>
  </sheets>
  <definedNames>
    <definedName name="LASER">Plan1!$Y$12:$Y$16</definedName>
    <definedName name="QTDE" comment="C+">Plan1!$B$14</definedName>
  </definedNames>
  <calcPr calcId="162913"/>
</workbook>
</file>

<file path=xl/calcChain.xml><?xml version="1.0" encoding="utf-8"?>
<calcChain xmlns="http://schemas.openxmlformats.org/spreadsheetml/2006/main">
  <c r="E15" i="1" l="1"/>
  <c r="E10" i="1"/>
  <c r="R61" i="1"/>
  <c r="S60" i="1"/>
  <c r="R60" i="1"/>
  <c r="S56" i="1"/>
  <c r="R56" i="1"/>
  <c r="S55" i="1"/>
  <c r="R55" i="1"/>
  <c r="C7" i="1" l="1"/>
  <c r="C8" i="1"/>
  <c r="S80" i="1"/>
  <c r="S79" i="1" s="1"/>
  <c r="R63" i="1"/>
  <c r="R64" i="1" s="1"/>
  <c r="Q56" i="1"/>
  <c r="Q55" i="1"/>
  <c r="R69" i="1"/>
  <c r="R70" i="1"/>
  <c r="R71" i="1"/>
  <c r="R72" i="1"/>
  <c r="S72" i="1" s="1"/>
  <c r="R74" i="1"/>
  <c r="R73" i="1"/>
  <c r="S74" i="1" l="1"/>
  <c r="S73" i="1" l="1"/>
  <c r="S70" i="1"/>
  <c r="S69" i="1"/>
  <c r="S71" i="1" l="1"/>
  <c r="S75" i="1" s="1"/>
  <c r="D22" i="1" l="1"/>
  <c r="S76" i="1"/>
  <c r="G22" i="1" l="1"/>
  <c r="F22" i="1"/>
  <c r="E22" i="1"/>
  <c r="B22" i="1"/>
  <c r="M22" i="1" l="1"/>
  <c r="N22" i="1" s="1"/>
  <c r="J22" i="1"/>
  <c r="K22" i="1"/>
  <c r="L22" i="1"/>
  <c r="I22" i="1"/>
  <c r="H22" i="1"/>
  <c r="C23" i="1"/>
  <c r="D23" i="1" l="1"/>
  <c r="F23" i="1" l="1"/>
  <c r="G23" i="1"/>
  <c r="B23" i="1"/>
  <c r="E23" i="1"/>
  <c r="M23" i="1" l="1"/>
  <c r="N23" i="1" s="1"/>
  <c r="J23" i="1"/>
  <c r="K23" i="1"/>
  <c r="L23" i="1"/>
  <c r="I23" i="1"/>
  <c r="H23" i="1"/>
  <c r="C24" i="1"/>
  <c r="D24" i="1" l="1"/>
  <c r="F24" i="1" l="1"/>
  <c r="G24" i="1"/>
  <c r="E24" i="1"/>
  <c r="B24" i="1"/>
  <c r="K24" i="1" l="1"/>
  <c r="J24" i="1"/>
  <c r="L24" i="1"/>
  <c r="M24" i="1"/>
  <c r="N24" i="1" s="1"/>
  <c r="I24" i="1"/>
  <c r="H24" i="1"/>
  <c r="C25" i="1"/>
  <c r="D25" i="1" l="1"/>
  <c r="F25" i="1" l="1"/>
  <c r="G25" i="1"/>
  <c r="E25" i="1"/>
  <c r="C26" i="1" s="1"/>
  <c r="B25" i="1"/>
  <c r="M25" i="1" l="1"/>
  <c r="N25" i="1" s="1"/>
  <c r="J25" i="1"/>
  <c r="K25" i="1"/>
  <c r="L25" i="1"/>
  <c r="I25" i="1"/>
  <c r="H25" i="1"/>
  <c r="D26" i="1"/>
  <c r="F26" i="1" l="1"/>
  <c r="G26" i="1"/>
  <c r="B26" i="1"/>
  <c r="E26" i="1"/>
  <c r="C27" i="1" s="1"/>
  <c r="M26" i="1" l="1"/>
  <c r="N26" i="1" s="1"/>
  <c r="J26" i="1"/>
  <c r="K26" i="1"/>
  <c r="L26" i="1"/>
  <c r="I26" i="1"/>
  <c r="H26" i="1"/>
  <c r="D27" i="1"/>
  <c r="F27" i="1" l="1"/>
  <c r="G27" i="1"/>
  <c r="E27" i="1"/>
  <c r="C28" i="1" s="1"/>
  <c r="B27" i="1"/>
  <c r="M27" i="1" l="1"/>
  <c r="N27" i="1" s="1"/>
  <c r="J27" i="1"/>
  <c r="K27" i="1"/>
  <c r="L27" i="1"/>
  <c r="I27" i="1"/>
  <c r="H27" i="1"/>
  <c r="D28" i="1"/>
  <c r="F28" i="1" l="1"/>
  <c r="G28" i="1"/>
  <c r="E28" i="1"/>
  <c r="C29" i="1" s="1"/>
  <c r="B28" i="1"/>
  <c r="L28" i="1" l="1"/>
  <c r="J28" i="1"/>
  <c r="M28" i="1"/>
  <c r="N28" i="1" s="1"/>
  <c r="K28" i="1"/>
  <c r="I28" i="1"/>
  <c r="H28" i="1"/>
  <c r="D29" i="1"/>
  <c r="G29" i="1" s="1"/>
  <c r="F29" i="1" l="1"/>
  <c r="J29" i="1" s="1"/>
  <c r="B29" i="1"/>
  <c r="E29" i="1"/>
  <c r="I29" i="1" l="1"/>
  <c r="H29" i="1"/>
  <c r="M29" i="1"/>
  <c r="N29" i="1" s="1"/>
  <c r="L29" i="1"/>
  <c r="K29" i="1"/>
  <c r="C30" i="1"/>
  <c r="D30" i="1" l="1"/>
  <c r="F30" i="1" l="1"/>
  <c r="G30" i="1"/>
  <c r="E30" i="1"/>
  <c r="C31" i="1" s="1"/>
  <c r="B30" i="1"/>
  <c r="M30" i="1" l="1"/>
  <c r="N30" i="1" s="1"/>
  <c r="J30" i="1"/>
  <c r="K30" i="1"/>
  <c r="L30" i="1"/>
  <c r="I30" i="1"/>
  <c r="H30" i="1"/>
  <c r="D31" i="1"/>
  <c r="F31" i="1" l="1"/>
  <c r="G31" i="1"/>
  <c r="E31" i="1"/>
  <c r="C32" i="1" s="1"/>
  <c r="B31" i="1"/>
  <c r="M31" i="1" l="1"/>
  <c r="N31" i="1" s="1"/>
  <c r="J31" i="1"/>
  <c r="K31" i="1"/>
  <c r="L31" i="1"/>
  <c r="I31" i="1"/>
  <c r="H31" i="1"/>
  <c r="D32" i="1"/>
  <c r="F32" i="1" l="1"/>
  <c r="G32" i="1"/>
  <c r="E32" i="1"/>
  <c r="C33" i="1" s="1"/>
  <c r="B32" i="1"/>
  <c r="M32" i="1" l="1"/>
  <c r="N32" i="1" s="1"/>
  <c r="J32" i="1"/>
  <c r="K32" i="1"/>
  <c r="L32" i="1"/>
  <c r="I32" i="1"/>
  <c r="H32" i="1"/>
  <c r="D33" i="1"/>
  <c r="F33" i="1" l="1"/>
  <c r="G33" i="1"/>
  <c r="B33" i="1"/>
  <c r="E33" i="1"/>
  <c r="C34" i="1" s="1"/>
  <c r="M33" i="1" l="1"/>
  <c r="N33" i="1" s="1"/>
  <c r="J33" i="1"/>
  <c r="K33" i="1"/>
  <c r="L33" i="1"/>
  <c r="I33" i="1"/>
  <c r="H33" i="1"/>
  <c r="D34" i="1"/>
  <c r="F34" i="1" l="1"/>
  <c r="G34" i="1"/>
  <c r="B34" i="1"/>
  <c r="E34" i="1"/>
  <c r="C35" i="1" s="1"/>
  <c r="M34" i="1" l="1"/>
  <c r="N34" i="1" s="1"/>
  <c r="J34" i="1"/>
  <c r="K34" i="1"/>
  <c r="L34" i="1"/>
  <c r="I34" i="1"/>
  <c r="H34" i="1"/>
  <c r="D35" i="1"/>
  <c r="F35" i="1" l="1"/>
  <c r="G35" i="1"/>
  <c r="B35" i="1"/>
  <c r="E35" i="1"/>
  <c r="C36" i="1" s="1"/>
  <c r="M35" i="1" l="1"/>
  <c r="N35" i="1" s="1"/>
  <c r="J35" i="1"/>
  <c r="K35" i="1"/>
  <c r="L35" i="1"/>
  <c r="I35" i="1"/>
  <c r="H35" i="1"/>
  <c r="D36" i="1"/>
  <c r="F36" i="1" l="1"/>
  <c r="G36" i="1"/>
  <c r="B36" i="1"/>
  <c r="E36" i="1"/>
  <c r="C37" i="1" s="1"/>
  <c r="M36" i="1" l="1"/>
  <c r="N36" i="1" s="1"/>
  <c r="J36" i="1"/>
  <c r="K36" i="1"/>
  <c r="L36" i="1"/>
  <c r="I36" i="1"/>
  <c r="H36" i="1"/>
  <c r="D37" i="1"/>
  <c r="F37" i="1" l="1"/>
  <c r="G37" i="1"/>
  <c r="E37" i="1"/>
  <c r="C38" i="1" s="1"/>
  <c r="B37" i="1"/>
  <c r="M37" i="1" l="1"/>
  <c r="N37" i="1" s="1"/>
  <c r="J37" i="1"/>
  <c r="K37" i="1"/>
  <c r="L37" i="1"/>
  <c r="I37" i="1"/>
  <c r="H37" i="1"/>
  <c r="D38" i="1"/>
  <c r="F38" i="1" l="1"/>
  <c r="G38" i="1"/>
  <c r="B38" i="1"/>
  <c r="E38" i="1"/>
  <c r="C39" i="1" s="1"/>
  <c r="M38" i="1" l="1"/>
  <c r="N38" i="1" s="1"/>
  <c r="J38" i="1"/>
  <c r="K38" i="1"/>
  <c r="L38" i="1"/>
  <c r="I38" i="1"/>
  <c r="H38" i="1"/>
  <c r="D39" i="1"/>
  <c r="F39" i="1" l="1"/>
  <c r="G39" i="1"/>
  <c r="E39" i="1"/>
  <c r="C40" i="1" s="1"/>
  <c r="B39" i="1"/>
  <c r="M39" i="1" l="1"/>
  <c r="N39" i="1" s="1"/>
  <c r="J39" i="1"/>
  <c r="K39" i="1"/>
  <c r="L39" i="1"/>
  <c r="I39" i="1"/>
  <c r="H39" i="1"/>
  <c r="D40" i="1"/>
  <c r="F40" i="1" l="1"/>
  <c r="G40" i="1"/>
  <c r="E40" i="1"/>
  <c r="C41" i="1" s="1"/>
  <c r="B40" i="1"/>
  <c r="K40" i="1" l="1"/>
  <c r="J40" i="1"/>
  <c r="L40" i="1"/>
  <c r="M40" i="1"/>
  <c r="N40" i="1" s="1"/>
  <c r="I40" i="1"/>
  <c r="H40" i="1"/>
  <c r="D41" i="1"/>
  <c r="F41" i="1" l="1"/>
  <c r="G41" i="1"/>
  <c r="E41" i="1"/>
  <c r="C42" i="1" s="1"/>
  <c r="B41" i="1"/>
  <c r="M41" i="1" l="1"/>
  <c r="N41" i="1" s="1"/>
  <c r="J41" i="1"/>
  <c r="K41" i="1"/>
  <c r="L41" i="1"/>
  <c r="I41" i="1"/>
  <c r="H41" i="1"/>
  <c r="D42" i="1"/>
  <c r="F42" i="1" l="1"/>
  <c r="G42" i="1"/>
  <c r="E42" i="1"/>
  <c r="C43" i="1" s="1"/>
  <c r="B42" i="1"/>
  <c r="M42" i="1" l="1"/>
  <c r="N42" i="1" s="1"/>
  <c r="J42" i="1"/>
  <c r="K42" i="1"/>
  <c r="L42" i="1"/>
  <c r="I42" i="1"/>
  <c r="H42" i="1"/>
  <c r="D43" i="1"/>
  <c r="F43" i="1" l="1"/>
  <c r="G43" i="1"/>
  <c r="E43" i="1"/>
  <c r="C44" i="1" s="1"/>
  <c r="B43" i="1"/>
  <c r="M43" i="1" l="1"/>
  <c r="N43" i="1" s="1"/>
  <c r="J43" i="1"/>
  <c r="K43" i="1"/>
  <c r="L43" i="1"/>
  <c r="I43" i="1"/>
  <c r="H43" i="1"/>
  <c r="D44" i="1"/>
  <c r="F44" i="1" l="1"/>
  <c r="G44" i="1"/>
  <c r="E44" i="1"/>
  <c r="C45" i="1" s="1"/>
  <c r="B44" i="1"/>
  <c r="L44" i="1" l="1"/>
  <c r="J44" i="1"/>
  <c r="M44" i="1"/>
  <c r="N44" i="1" s="1"/>
  <c r="K44" i="1"/>
  <c r="I44" i="1"/>
  <c r="H44" i="1"/>
  <c r="D45" i="1"/>
  <c r="F45" i="1" l="1"/>
  <c r="G45" i="1"/>
  <c r="E45" i="1"/>
  <c r="C46" i="1" s="1"/>
  <c r="B45" i="1"/>
  <c r="M45" i="1" l="1"/>
  <c r="N45" i="1" s="1"/>
  <c r="J45" i="1"/>
  <c r="K45" i="1"/>
  <c r="L45" i="1"/>
  <c r="I45" i="1"/>
  <c r="H45" i="1"/>
  <c r="D46" i="1"/>
  <c r="F46" i="1" l="1"/>
  <c r="G46" i="1"/>
  <c r="E46" i="1"/>
  <c r="C47" i="1" s="1"/>
  <c r="B46" i="1"/>
  <c r="M46" i="1" l="1"/>
  <c r="N46" i="1" s="1"/>
  <c r="J46" i="1"/>
  <c r="K46" i="1"/>
  <c r="L46" i="1"/>
  <c r="I46" i="1"/>
  <c r="H46" i="1"/>
  <c r="D47" i="1"/>
  <c r="F47" i="1" l="1"/>
  <c r="G47" i="1"/>
  <c r="E47" i="1"/>
  <c r="B47" i="1"/>
  <c r="M47" i="1" l="1"/>
  <c r="N47" i="1" s="1"/>
  <c r="J47" i="1"/>
  <c r="K47" i="1"/>
  <c r="L47" i="1"/>
  <c r="I47" i="1"/>
  <c r="H47" i="1"/>
  <c r="C48" i="1"/>
  <c r="D48" i="1" l="1"/>
  <c r="F48" i="1" l="1"/>
  <c r="G48" i="1"/>
  <c r="B48" i="1"/>
  <c r="E48" i="1"/>
  <c r="M48" i="1" l="1"/>
  <c r="N48" i="1" s="1"/>
  <c r="J48" i="1"/>
  <c r="K48" i="1"/>
  <c r="L48" i="1"/>
  <c r="I48" i="1"/>
  <c r="H48" i="1"/>
  <c r="C49" i="1"/>
  <c r="D49" i="1" l="1"/>
  <c r="F49" i="1" l="1"/>
  <c r="G49" i="1"/>
  <c r="B49" i="1"/>
  <c r="E49" i="1"/>
  <c r="M49" i="1" l="1"/>
  <c r="N49" i="1" s="1"/>
  <c r="J49" i="1"/>
  <c r="K49" i="1"/>
  <c r="L49" i="1"/>
  <c r="I49" i="1"/>
  <c r="H49" i="1"/>
  <c r="C50" i="1"/>
  <c r="D50" i="1" l="1"/>
  <c r="F50" i="1" l="1"/>
  <c r="G50" i="1"/>
  <c r="B50" i="1"/>
  <c r="E50" i="1"/>
  <c r="M50" i="1" l="1"/>
  <c r="N50" i="1" s="1"/>
  <c r="J50" i="1"/>
  <c r="K50" i="1"/>
  <c r="L50" i="1"/>
  <c r="I50" i="1"/>
  <c r="H50" i="1"/>
  <c r="C51" i="1"/>
  <c r="D51" i="1" l="1"/>
  <c r="F51" i="1" l="1"/>
  <c r="G51" i="1"/>
  <c r="E51" i="1"/>
  <c r="B51" i="1"/>
  <c r="M51" i="1" l="1"/>
  <c r="N51" i="1" s="1"/>
  <c r="J51" i="1"/>
  <c r="K51" i="1"/>
  <c r="L51" i="1"/>
  <c r="I51" i="1"/>
  <c r="H51" i="1"/>
  <c r="C52" i="1"/>
  <c r="D52" i="1" l="1"/>
  <c r="F52" i="1" l="1"/>
  <c r="G52" i="1"/>
  <c r="B52" i="1"/>
  <c r="E52" i="1"/>
  <c r="M52" i="1" l="1"/>
  <c r="N52" i="1" s="1"/>
  <c r="J52" i="1"/>
  <c r="K52" i="1"/>
  <c r="L52" i="1"/>
  <c r="I52" i="1"/>
  <c r="H52" i="1"/>
  <c r="C53" i="1"/>
  <c r="D53" i="1" l="1"/>
  <c r="F53" i="1" l="1"/>
  <c r="G53" i="1"/>
  <c r="B53" i="1"/>
  <c r="E53" i="1"/>
  <c r="M53" i="1" l="1"/>
  <c r="N53" i="1" s="1"/>
  <c r="J53" i="1"/>
  <c r="K53" i="1"/>
  <c r="L53" i="1"/>
  <c r="I53" i="1"/>
  <c r="H53" i="1"/>
  <c r="C54" i="1"/>
  <c r="D54" i="1" l="1"/>
  <c r="F54" i="1" l="1"/>
  <c r="G54" i="1"/>
  <c r="B54" i="1"/>
  <c r="E54" i="1"/>
  <c r="M54" i="1" l="1"/>
  <c r="N54" i="1" s="1"/>
  <c r="J54" i="1"/>
  <c r="K54" i="1"/>
  <c r="L54" i="1"/>
  <c r="I54" i="1"/>
  <c r="H54" i="1"/>
  <c r="C55" i="1"/>
  <c r="D55" i="1" l="1"/>
  <c r="F55" i="1" l="1"/>
  <c r="G55" i="1"/>
  <c r="B55" i="1"/>
  <c r="E55" i="1"/>
  <c r="M55" i="1" l="1"/>
  <c r="N55" i="1" s="1"/>
  <c r="J55" i="1"/>
  <c r="K55" i="1"/>
  <c r="L55" i="1"/>
  <c r="I55" i="1"/>
  <c r="H55" i="1"/>
  <c r="C56" i="1"/>
  <c r="D56" i="1" s="1"/>
  <c r="F56" i="1" l="1"/>
  <c r="G56" i="1"/>
  <c r="E56" i="1"/>
  <c r="C57" i="1" s="1"/>
  <c r="B56" i="1"/>
  <c r="K56" i="1" l="1"/>
  <c r="J56" i="1"/>
  <c r="L56" i="1"/>
  <c r="M56" i="1"/>
  <c r="N56" i="1" s="1"/>
  <c r="I56" i="1"/>
  <c r="H56" i="1"/>
  <c r="D57" i="1"/>
  <c r="F57" i="1" l="1"/>
  <c r="G57" i="1"/>
  <c r="B57" i="1"/>
  <c r="E57" i="1"/>
  <c r="M57" i="1" l="1"/>
  <c r="N57" i="1" s="1"/>
  <c r="J57" i="1"/>
  <c r="K57" i="1"/>
  <c r="L57" i="1"/>
  <c r="I57" i="1"/>
  <c r="H57" i="1"/>
  <c r="C58" i="1"/>
  <c r="D58" i="1" l="1"/>
  <c r="F58" i="1" l="1"/>
  <c r="G58" i="1"/>
  <c r="B58" i="1"/>
  <c r="E58" i="1"/>
  <c r="M58" i="1" l="1"/>
  <c r="N58" i="1" s="1"/>
  <c r="J58" i="1"/>
  <c r="K58" i="1"/>
  <c r="L58" i="1"/>
  <c r="I58" i="1"/>
  <c r="H58" i="1"/>
  <c r="C59" i="1"/>
  <c r="D59" i="1" l="1"/>
  <c r="F59" i="1" l="1"/>
  <c r="G59" i="1"/>
  <c r="E59" i="1"/>
  <c r="B59" i="1"/>
  <c r="K59" i="1" l="1"/>
  <c r="J59" i="1"/>
  <c r="I59" i="1"/>
  <c r="H59" i="1"/>
  <c r="L59" i="1"/>
  <c r="M59" i="1"/>
  <c r="N59" i="1" s="1"/>
  <c r="C60" i="1"/>
  <c r="D60" i="1" l="1"/>
  <c r="F60" i="1" l="1"/>
  <c r="G60" i="1"/>
  <c r="E60" i="1"/>
  <c r="B60" i="1"/>
  <c r="L60" i="1" l="1"/>
  <c r="J60" i="1"/>
  <c r="M60" i="1"/>
  <c r="N60" i="1" s="1"/>
  <c r="K60" i="1"/>
  <c r="I60" i="1"/>
  <c r="H60" i="1"/>
  <c r="C61" i="1"/>
  <c r="D61" i="1" l="1"/>
  <c r="F61" i="1" l="1"/>
  <c r="G61" i="1"/>
  <c r="E61" i="1"/>
  <c r="B61" i="1"/>
  <c r="M61" i="1" l="1"/>
  <c r="N61" i="1" s="1"/>
  <c r="J61" i="1"/>
  <c r="K61" i="1"/>
  <c r="L61" i="1"/>
  <c r="I61" i="1"/>
  <c r="H61" i="1"/>
  <c r="C62" i="1"/>
  <c r="D62" i="1" l="1"/>
  <c r="F62" i="1" l="1"/>
  <c r="G62" i="1"/>
  <c r="B62" i="1"/>
  <c r="E62" i="1"/>
  <c r="L62" i="1" l="1"/>
  <c r="J62" i="1"/>
  <c r="K62" i="1"/>
  <c r="M62" i="1"/>
  <c r="N62" i="1" s="1"/>
  <c r="I62" i="1"/>
  <c r="H62" i="1"/>
  <c r="C63" i="1"/>
  <c r="D63" i="1" l="1"/>
  <c r="F63" i="1" l="1"/>
  <c r="G63" i="1"/>
  <c r="B63" i="1"/>
  <c r="E63" i="1"/>
  <c r="L63" i="1" l="1"/>
  <c r="J63" i="1"/>
  <c r="K63" i="1"/>
  <c r="M63" i="1"/>
  <c r="N63" i="1" s="1"/>
  <c r="I63" i="1"/>
  <c r="H63" i="1"/>
  <c r="C64" i="1"/>
  <c r="D64" i="1" l="1"/>
  <c r="F64" i="1" l="1"/>
  <c r="G64" i="1"/>
  <c r="B64" i="1"/>
  <c r="E64" i="1"/>
  <c r="M64" i="1" l="1"/>
  <c r="N64" i="1" s="1"/>
  <c r="J64" i="1"/>
  <c r="K64" i="1"/>
  <c r="L64" i="1"/>
  <c r="I64" i="1"/>
  <c r="H64" i="1"/>
  <c r="C65" i="1"/>
  <c r="D65" i="1" l="1"/>
  <c r="F65" i="1" l="1"/>
  <c r="G65" i="1"/>
  <c r="E65" i="1"/>
  <c r="B65" i="1"/>
  <c r="M65" i="1" l="1"/>
  <c r="N65" i="1" s="1"/>
  <c r="J65" i="1"/>
  <c r="K65" i="1"/>
  <c r="L65" i="1"/>
  <c r="I65" i="1"/>
  <c r="H65" i="1"/>
  <c r="C66" i="1"/>
  <c r="D66" i="1" l="1"/>
  <c r="F66" i="1" l="1"/>
  <c r="G66" i="1"/>
  <c r="B66" i="1"/>
  <c r="E66" i="1"/>
  <c r="M66" i="1" l="1"/>
  <c r="N66" i="1" s="1"/>
  <c r="J66" i="1"/>
  <c r="K66" i="1"/>
  <c r="L66" i="1"/>
  <c r="I66" i="1"/>
  <c r="H66" i="1"/>
  <c r="C67" i="1"/>
  <c r="D67" i="1" l="1"/>
  <c r="F67" i="1" l="1"/>
  <c r="G67" i="1"/>
  <c r="E67" i="1"/>
  <c r="B67" i="1"/>
  <c r="M67" i="1" l="1"/>
  <c r="N67" i="1" s="1"/>
  <c r="J67" i="1"/>
  <c r="K67" i="1"/>
  <c r="L67" i="1"/>
  <c r="I67" i="1"/>
  <c r="H67" i="1"/>
  <c r="C68" i="1"/>
  <c r="D68" i="1" l="1"/>
  <c r="F68" i="1" l="1"/>
  <c r="G68" i="1"/>
  <c r="E68" i="1"/>
  <c r="B68" i="1"/>
  <c r="M68" i="1" l="1"/>
  <c r="N68" i="1" s="1"/>
  <c r="J68" i="1"/>
  <c r="K68" i="1"/>
  <c r="L68" i="1"/>
  <c r="I68" i="1"/>
  <c r="H68" i="1"/>
  <c r="C69" i="1"/>
  <c r="D69" i="1" l="1"/>
  <c r="F69" i="1" l="1"/>
  <c r="G69" i="1"/>
  <c r="B69" i="1"/>
  <c r="E69" i="1"/>
  <c r="M69" i="1" l="1"/>
  <c r="N69" i="1" s="1"/>
  <c r="J69" i="1"/>
  <c r="K69" i="1"/>
  <c r="L69" i="1"/>
  <c r="I69" i="1"/>
  <c r="H69" i="1"/>
  <c r="C70" i="1"/>
  <c r="D70" i="1" l="1"/>
  <c r="F70" i="1" l="1"/>
  <c r="G70" i="1"/>
  <c r="B70" i="1"/>
  <c r="E70" i="1"/>
  <c r="L70" i="1" l="1"/>
  <c r="J70" i="1"/>
  <c r="K70" i="1"/>
  <c r="M70" i="1"/>
  <c r="N70" i="1" s="1"/>
  <c r="I70" i="1"/>
  <c r="H70" i="1"/>
  <c r="C71" i="1"/>
  <c r="D71" i="1" l="1"/>
  <c r="F71" i="1" l="1"/>
  <c r="G71" i="1"/>
  <c r="E71" i="1"/>
  <c r="B71" i="1"/>
  <c r="M71" i="1" l="1"/>
  <c r="N71" i="1" s="1"/>
  <c r="J71" i="1"/>
  <c r="K71" i="1"/>
  <c r="L71" i="1"/>
  <c r="I71" i="1"/>
  <c r="H71" i="1"/>
  <c r="C72" i="1"/>
  <c r="D72" i="1" l="1"/>
  <c r="F72" i="1" l="1"/>
  <c r="G72" i="1"/>
  <c r="E72" i="1"/>
  <c r="C73" i="1" s="1"/>
  <c r="B72" i="1"/>
  <c r="K72" i="1" l="1"/>
  <c r="J72" i="1"/>
  <c r="L72" i="1"/>
  <c r="M72" i="1"/>
  <c r="N72" i="1" s="1"/>
  <c r="I72" i="1"/>
  <c r="H72" i="1"/>
  <c r="D73" i="1"/>
  <c r="F73" i="1" l="1"/>
  <c r="G73" i="1"/>
  <c r="E73" i="1"/>
  <c r="B73" i="1"/>
  <c r="M73" i="1" l="1"/>
  <c r="N73" i="1" s="1"/>
  <c r="J73" i="1"/>
  <c r="K73" i="1"/>
  <c r="L73" i="1"/>
  <c r="I73" i="1"/>
  <c r="H73" i="1"/>
  <c r="C74" i="1"/>
  <c r="D74" i="1" l="1"/>
  <c r="F74" i="1" l="1"/>
  <c r="G74" i="1"/>
  <c r="E74" i="1"/>
  <c r="B74" i="1"/>
  <c r="M74" i="1" l="1"/>
  <c r="N74" i="1" s="1"/>
  <c r="J74" i="1"/>
  <c r="K74" i="1"/>
  <c r="L74" i="1"/>
  <c r="I74" i="1"/>
  <c r="H74" i="1"/>
  <c r="C75" i="1"/>
  <c r="D75" i="1" l="1"/>
  <c r="F75" i="1" l="1"/>
  <c r="G75" i="1"/>
  <c r="E75" i="1"/>
  <c r="B75" i="1"/>
  <c r="M75" i="1" l="1"/>
  <c r="N75" i="1" s="1"/>
  <c r="J75" i="1"/>
  <c r="K75" i="1"/>
  <c r="L75" i="1"/>
  <c r="I75" i="1"/>
  <c r="H75" i="1"/>
  <c r="C76" i="1"/>
  <c r="D76" i="1" l="1"/>
  <c r="F76" i="1" l="1"/>
  <c r="G76" i="1"/>
  <c r="B76" i="1"/>
  <c r="E76" i="1"/>
  <c r="K76" i="1" l="1"/>
  <c r="J76" i="1"/>
  <c r="M76" i="1"/>
  <c r="N76" i="1" s="1"/>
  <c r="L76" i="1"/>
  <c r="I76" i="1"/>
  <c r="H76" i="1"/>
  <c r="C77" i="1"/>
  <c r="D77" i="1" l="1"/>
  <c r="F77" i="1" l="1"/>
  <c r="G77" i="1"/>
  <c r="E77" i="1"/>
  <c r="B77" i="1"/>
  <c r="M77" i="1" l="1"/>
  <c r="N77" i="1" s="1"/>
  <c r="J77" i="1"/>
  <c r="K77" i="1"/>
  <c r="L77" i="1"/>
  <c r="I77" i="1"/>
  <c r="H77" i="1"/>
  <c r="C78" i="1"/>
  <c r="D78" i="1" l="1"/>
  <c r="F78" i="1" l="1"/>
  <c r="G78" i="1"/>
  <c r="B78" i="1"/>
  <c r="E78" i="1"/>
  <c r="M78" i="1" l="1"/>
  <c r="N78" i="1" s="1"/>
  <c r="J78" i="1"/>
  <c r="K78" i="1"/>
  <c r="L78" i="1"/>
  <c r="I78" i="1"/>
  <c r="H78" i="1"/>
  <c r="C79" i="1"/>
  <c r="D79" i="1" s="1"/>
  <c r="F79" i="1" l="1"/>
  <c r="G79" i="1"/>
  <c r="E79" i="1"/>
  <c r="C80" i="1" s="1"/>
  <c r="B79" i="1"/>
  <c r="M79" i="1" l="1"/>
  <c r="N79" i="1" s="1"/>
  <c r="J79" i="1"/>
  <c r="K79" i="1"/>
  <c r="L79" i="1"/>
  <c r="I79" i="1"/>
  <c r="H79" i="1"/>
  <c r="D80" i="1"/>
  <c r="F80" i="1" l="1"/>
  <c r="G80" i="1"/>
  <c r="B80" i="1"/>
  <c r="E80" i="1"/>
  <c r="M80" i="1" l="1"/>
  <c r="N80" i="1" s="1"/>
  <c r="J80" i="1"/>
  <c r="K80" i="1"/>
  <c r="L80" i="1"/>
  <c r="I80" i="1"/>
  <c r="H80" i="1"/>
  <c r="C81" i="1"/>
  <c r="D81" i="1" l="1"/>
  <c r="F81" i="1" l="1"/>
  <c r="G81" i="1"/>
  <c r="E81" i="1"/>
  <c r="C82" i="1" s="1"/>
  <c r="B81" i="1"/>
  <c r="M81" i="1" l="1"/>
  <c r="N81" i="1" s="1"/>
  <c r="J81" i="1"/>
  <c r="K81" i="1"/>
  <c r="L81" i="1"/>
  <c r="I81" i="1"/>
  <c r="H81" i="1"/>
  <c r="D82" i="1"/>
  <c r="F82" i="1" l="1"/>
  <c r="G82" i="1"/>
  <c r="B82" i="1"/>
  <c r="E82" i="1"/>
  <c r="M82" i="1" l="1"/>
  <c r="N82" i="1" s="1"/>
  <c r="J82" i="1"/>
  <c r="K82" i="1"/>
  <c r="L82" i="1"/>
  <c r="I82" i="1"/>
  <c r="H82" i="1"/>
  <c r="C83" i="1"/>
  <c r="D83" i="1" l="1"/>
  <c r="F83" i="1" l="1"/>
  <c r="G83" i="1"/>
  <c r="B83" i="1"/>
  <c r="E83" i="1"/>
  <c r="M83" i="1" l="1"/>
  <c r="N83" i="1" s="1"/>
  <c r="J83" i="1"/>
  <c r="K83" i="1"/>
  <c r="L83" i="1"/>
  <c r="I83" i="1"/>
  <c r="H83" i="1"/>
  <c r="C84" i="1"/>
  <c r="D84" i="1" l="1"/>
  <c r="F84" i="1" l="1"/>
  <c r="G84" i="1"/>
  <c r="E84" i="1"/>
  <c r="B84" i="1"/>
  <c r="M84" i="1" l="1"/>
  <c r="N84" i="1" s="1"/>
  <c r="J84" i="1"/>
  <c r="K84" i="1"/>
  <c r="L84" i="1"/>
  <c r="I84" i="1"/>
  <c r="H84" i="1"/>
  <c r="C85" i="1"/>
  <c r="D85" i="1" s="1"/>
  <c r="F85" i="1" l="1"/>
  <c r="G85" i="1"/>
  <c r="B85" i="1"/>
  <c r="E85" i="1"/>
  <c r="M85" i="1" l="1"/>
  <c r="N85" i="1" s="1"/>
  <c r="N20" i="1" s="1"/>
  <c r="J85" i="1"/>
  <c r="K85" i="1"/>
  <c r="E16" i="1" s="1"/>
  <c r="L85" i="1"/>
  <c r="E17" i="1" s="1"/>
  <c r="F17" i="1" s="1"/>
  <c r="I85" i="1"/>
  <c r="E12" i="1" s="1"/>
  <c r="H85" i="1"/>
  <c r="E11" i="1" s="1"/>
  <c r="G16" i="1" l="1"/>
  <c r="F16" i="1"/>
  <c r="G17" i="1"/>
  <c r="H16" i="1"/>
  <c r="H17" i="1"/>
  <c r="I16" i="1"/>
  <c r="I17" i="1"/>
  <c r="F11" i="1"/>
  <c r="I11" i="1"/>
  <c r="G11" i="1"/>
  <c r="H11" i="1"/>
  <c r="F12" i="1"/>
  <c r="H12" i="1"/>
  <c r="G12" i="1"/>
  <c r="I12" i="1"/>
  <c r="E4" i="1"/>
  <c r="E8" i="1" s="1"/>
  <c r="E5" i="1"/>
  <c r="E6" i="1" l="1"/>
  <c r="E7" i="1"/>
</calcChain>
</file>

<file path=xl/sharedStrings.xml><?xml version="1.0" encoding="utf-8"?>
<sst xmlns="http://schemas.openxmlformats.org/spreadsheetml/2006/main" count="142" uniqueCount="87">
  <si>
    <t>1|99</t>
  </si>
  <si>
    <t>2|98</t>
  </si>
  <si>
    <t>5|95</t>
  </si>
  <si>
    <t>10|90</t>
  </si>
  <si>
    <t>15|85</t>
  </si>
  <si>
    <t>20|80</t>
  </si>
  <si>
    <t>25|75</t>
  </si>
  <si>
    <t>30|70</t>
  </si>
  <si>
    <t>35|65</t>
  </si>
  <si>
    <t>40|60</t>
  </si>
  <si>
    <t>45|55</t>
  </si>
  <si>
    <t>N</t>
  </si>
  <si>
    <t>Splitter</t>
  </si>
  <si>
    <t>Splitter Balanceado</t>
  </si>
  <si>
    <t>Splitter Desbalanceado</t>
  </si>
  <si>
    <t>Cod</t>
  </si>
  <si>
    <t>Entrada</t>
  </si>
  <si>
    <t>Saida 01</t>
  </si>
  <si>
    <t>Saida 02</t>
  </si>
  <si>
    <t xml:space="preserve"> </t>
  </si>
  <si>
    <t>SPLITTER INTERNO</t>
  </si>
  <si>
    <t>PERDA P/ DIST</t>
  </si>
  <si>
    <t>PERDA MAX</t>
  </si>
  <si>
    <t>PLANILHA PARA CALULO DE POTENCIA EM REDES DESBALANCEADAS</t>
  </si>
  <si>
    <t>POWER BUDGET</t>
  </si>
  <si>
    <t>CONEXÕES</t>
  </si>
  <si>
    <t>EMENDAS</t>
  </si>
  <si>
    <t>SPLITER NAP</t>
  </si>
  <si>
    <t>PERDA POR SEGMENTO</t>
  </si>
  <si>
    <t>1310 nm</t>
  </si>
  <si>
    <t>1490 nm</t>
  </si>
  <si>
    <t>SINAL ONU MAX</t>
  </si>
  <si>
    <t>SINAL OLT MAX</t>
  </si>
  <si>
    <t>REAL</t>
  </si>
  <si>
    <t>MIN</t>
  </si>
  <si>
    <t>MAX</t>
  </si>
  <si>
    <t>POTENCIA</t>
  </si>
  <si>
    <t>SENSIBILIDADE</t>
  </si>
  <si>
    <t>OLT</t>
  </si>
  <si>
    <t>ONT</t>
  </si>
  <si>
    <t>REDE</t>
  </si>
  <si>
    <t>PERDA EMENDA</t>
  </si>
  <si>
    <t>REDES</t>
  </si>
  <si>
    <t>DISTANCIA 1490</t>
  </si>
  <si>
    <t>DISTANCIA 1310</t>
  </si>
  <si>
    <t>TOTAL REDE 1310</t>
  </si>
  <si>
    <t>TOTAL REDE 1490</t>
  </si>
  <si>
    <t>PERDA REDE 1490</t>
  </si>
  <si>
    <t>PERDA REDE 1310</t>
  </si>
  <si>
    <t>/KM</t>
  </si>
  <si>
    <t>DISTANCIA 1º CX</t>
  </si>
  <si>
    <t>DIST ENTRE CX</t>
  </si>
  <si>
    <t>DESCRIÇÃO</t>
  </si>
  <si>
    <t>QTDE</t>
  </si>
  <si>
    <t>PERDA</t>
  </si>
  <si>
    <t>TIPO</t>
  </si>
  <si>
    <t>UN</t>
  </si>
  <si>
    <t>PERDA ENTRE AS CAIXAS</t>
  </si>
  <si>
    <t>POTÊNCIA OLT</t>
  </si>
  <si>
    <t>POTÊNCIA ONU</t>
  </si>
  <si>
    <t>LASER</t>
  </si>
  <si>
    <t>VARIAVEIS DA REDE</t>
  </si>
  <si>
    <t>SINAL ONU ATUAL</t>
  </si>
  <si>
    <t>SINAL OLT ATUAL</t>
  </si>
  <si>
    <t>MARGEM DE SEGURANÇA</t>
  </si>
  <si>
    <t>SINAL ONU FUTRO</t>
  </si>
  <si>
    <t>SINAL OLT FUTURO</t>
  </si>
  <si>
    <t>C+</t>
  </si>
  <si>
    <t>MEMORIA DE CALULO</t>
  </si>
  <si>
    <t>ONTs POR PORTA</t>
  </si>
  <si>
    <t>BANDA ALOCADA GPON</t>
  </si>
  <si>
    <t>BANDA AOCADA PACPON</t>
  </si>
  <si>
    <t>RESUMO</t>
  </si>
  <si>
    <t>SINAL ONT ATUAL</t>
  </si>
  <si>
    <t>SINAL ONT FUTURO</t>
  </si>
  <si>
    <t>SINAL ONT (PIOR CASO)</t>
  </si>
  <si>
    <t>SINAL OLT (PIOR CASO)</t>
  </si>
  <si>
    <t>B+</t>
  </si>
  <si>
    <t>OLT C+</t>
  </si>
  <si>
    <t>POTÊNCIA</t>
  </si>
  <si>
    <t>OLT B+</t>
  </si>
  <si>
    <t>ONT B+</t>
  </si>
  <si>
    <t>ONT C+</t>
  </si>
  <si>
    <t>DESC</t>
  </si>
  <si>
    <t>LASER OLT</t>
  </si>
  <si>
    <t>LASER ONT</t>
  </si>
  <si>
    <t>BANDA ALOCADA 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</si>
</sst>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\1&quot;|&quot;0"/>
    <numFmt numFmtId="165" formatCode="0.0\ &quot;dB&quot;"/>
    <numFmt numFmtId="166" formatCode="0.0\ &quot;dBm&quot;"/>
    <numFmt numFmtId="167" formatCode="0.00\ &quot;dB&quot;"/>
    <numFmt numFmtId="168" formatCode="\1&quot;X&quot;0"/>
    <numFmt numFmtId="169" formatCode="0.00\ &quot;KM&quot;"/>
    <numFmt numFmtId="170" formatCode="0.00\ &quot;M&quot;"/>
    <numFmt numFmtId="171" formatCode="0.0\ &quot;mb&quot;"/>
    <numFmt numFmtId="172" formatCode="0.00\ &quot;dBm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8FD2"/>
        <bgColor theme="4"/>
      </patternFill>
    </fill>
    <fill>
      <patternFill patternType="solid">
        <fgColor rgb="FF75B689"/>
        <bgColor theme="4" tint="0.59999389629810485"/>
      </patternFill>
    </fill>
    <fill>
      <patternFill patternType="solid">
        <fgColor rgb="FF75B689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0" fillId="2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165" fontId="0" fillId="2" borderId="0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66" fontId="0" fillId="2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2" fontId="0" fillId="0" borderId="0" xfId="0" applyNumberFormat="1"/>
    <xf numFmtId="2" fontId="5" fillId="0" borderId="0" xfId="0" applyNumberFormat="1" applyFont="1"/>
    <xf numFmtId="0" fontId="5" fillId="0" borderId="0" xfId="0" applyFont="1"/>
    <xf numFmtId="0" fontId="2" fillId="5" borderId="0" xfId="0" applyFont="1" applyFill="1" applyBorder="1" applyAlignment="1">
      <alignment horizontal="left"/>
    </xf>
    <xf numFmtId="167" fontId="0" fillId="2" borderId="3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68" fontId="0" fillId="2" borderId="3" xfId="0" applyNumberFormat="1" applyFont="1" applyFill="1" applyBorder="1" applyAlignment="1">
      <alignment horizontal="center"/>
    </xf>
    <xf numFmtId="169" fontId="0" fillId="2" borderId="3" xfId="0" applyNumberFormat="1" applyFont="1" applyFill="1" applyBorder="1" applyAlignment="1">
      <alignment horizontal="center"/>
    </xf>
    <xf numFmtId="0" fontId="0" fillId="7" borderId="3" xfId="0" applyFill="1" applyBorder="1" applyAlignment="1"/>
    <xf numFmtId="170" fontId="0" fillId="2" borderId="3" xfId="0" applyNumberFormat="1" applyFont="1" applyFill="1" applyBorder="1" applyAlignment="1">
      <alignment horizontal="center"/>
    </xf>
    <xf numFmtId="165" fontId="0" fillId="2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3" xfId="0" applyBorder="1"/>
    <xf numFmtId="0" fontId="2" fillId="3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7" borderId="8" xfId="0" applyFill="1" applyBorder="1" applyAlignment="1"/>
    <xf numFmtId="2" fontId="3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2" fontId="0" fillId="2" borderId="3" xfId="0" applyNumberFormat="1" applyFont="1" applyFill="1" applyBorder="1" applyAlignment="1">
      <alignment horizontal="center"/>
    </xf>
    <xf numFmtId="166" fontId="0" fillId="2" borderId="3" xfId="0" applyNumberFormat="1" applyFont="1" applyFill="1" applyBorder="1" applyAlignment="1">
      <alignment horizontal="left"/>
    </xf>
    <xf numFmtId="171" fontId="0" fillId="7" borderId="3" xfId="0" applyNumberForma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0" fillId="2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4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164" fontId="0" fillId="2" borderId="3" xfId="0" applyNumberFormat="1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9" fontId="2" fillId="3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72" formatCode="0.00\ &quot;dBm&quot;"/>
      <alignment horizontal="center" vertical="bottom" textRotation="0" wrapText="0" indent="0" justifyLastLine="0" shrinkToFit="0" readingOrder="0"/>
    </dxf>
    <dxf>
      <numFmt numFmtId="172" formatCode="0.00\ &quot;dBm&quot;"/>
      <alignment horizontal="center" vertical="bottom" textRotation="0" wrapText="0" indent="0" justifyLastLine="0" shrinkToFit="0" readingOrder="0"/>
    </dxf>
    <dxf>
      <numFmt numFmtId="172" formatCode="0.00\ &quot;dBm&quot;"/>
      <alignment horizontal="center" vertical="bottom" textRotation="0" wrapText="0" indent="0" justifyLastLine="0" shrinkToFit="0" readingOrder="0"/>
    </dxf>
    <dxf>
      <numFmt numFmtId="172" formatCode="0.00\ &quot;dBm&quot;"/>
      <alignment horizontal="center" vertical="bottom" textRotation="0" wrapText="0" indent="0" justifyLastLine="0" shrinkToFit="0" readingOrder="0"/>
    </dxf>
    <dxf>
      <numFmt numFmtId="172" formatCode="0.00\ &quot;dBm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008FD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75B689"/>
      <color rgb="FF008FD2"/>
      <color rgb="FFD6DB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fiberschool.com.br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MARMENTINI.NET/CONTATO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885825</xdr:colOff>
      <xdr:row>2</xdr:row>
      <xdr:rowOff>95250</xdr:rowOff>
    </xdr:from>
    <xdr:to>
      <xdr:col>7</xdr:col>
      <xdr:colOff>908690</xdr:colOff>
      <xdr:row>7</xdr:row>
      <xdr:rowOff>37340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501650"/>
          <a:ext cx="2512065" cy="945390"/>
        </a:xfrm>
        <a:prstGeom prst="rect">
          <a:avLst/>
        </a:prstGeom>
      </xdr:spPr>
    </xdr:pic>
    <xdr:clientData/>
  </xdr:twoCellAnchor>
  <xdr:oneCellAnchor>
    <xdr:from>
      <xdr:col>15</xdr:col>
      <xdr:colOff>19050</xdr:colOff>
      <xdr:row>56</xdr:row>
      <xdr:rowOff>171450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28800" y="11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8</xdr:col>
      <xdr:colOff>774700</xdr:colOff>
      <xdr:row>2</xdr:row>
      <xdr:rowOff>76200</xdr:rowOff>
    </xdr:from>
    <xdr:to>
      <xdr:col>10</xdr:col>
      <xdr:colOff>914913</xdr:colOff>
      <xdr:row>7</xdr:row>
      <xdr:rowOff>53069</xdr:rowOff>
    </xdr:to>
    <xdr:pic>
      <xdr:nvPicPr>
        <xdr:cNvPr id="13" name="Imagem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180A90-4AC0-4F63-AD2D-1390949C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900" y="482600"/>
          <a:ext cx="1753113" cy="9801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21:N85" totalsRowShown="0" headerRowDxfId="15" headerRowBorderDxfId="14">
  <autoFilter ref="A21:N85"/>
  <tableColumns count="14">
    <tableColumn id="1" name="N" dataDxfId="13"/>
    <tableColumn id="2" name="Splitter" dataDxfId="12">
      <calculatedColumnFormula>IF(D22&lt;&gt;" ",VLOOKUP(D22,$R$21:$T$31,3,0),"")</calculatedColumnFormula>
    </tableColumn>
    <tableColumn id="3" name="Entrada" dataDxfId="11">
      <calculatedColumnFormula>IF(ISERROR(C21+E21+$S$79)," ",C21+E21+$S$79)</calculatedColumnFormula>
    </tableColumn>
    <tableColumn id="4" name="Saida 01" dataDxfId="10">
      <calculatedColumnFormula>IF(ISERROR(IF((C22+$R$21+$S$75)&lt;$R$64,$R$21,IF((C22+$R$22+$S$75)&lt;$R$64,$R$22,IF((C22+$R$23+$S$75)&lt;$R$64,$R$23,IF((C22+$R$24+$S$75)&lt;$R$64,$R$24,IF((C22+$R$25+$S$75)&lt;$R$64,$R$25,IF((C22+$R$26+$S$75)&lt;$R$64,$R$26,IF((C22+$R$27+$S$75)&lt;$R$64,$R$27,IF((C22+$R$28+$S$75)&lt;$R$64,$R$28,IF((C22+$R$29+$S$75)&lt;$R$64,$R$29,IF((C22+$R$30+$S$75)&lt;$R$64,$R$30,IF((C22+$R$31+$S$75)&lt;$R$64,$R$31," "))))))))))))," ",IF((C22+$R$21+$S$75)&lt;$R$64,$R$21,IF((C22+$R$22+$S$75)&lt;$R$64,$R$22,IF((C22+$R$23+$S$75)&lt;$R$64,$R$23,IF((C22+$R$24+$S$75)&lt;$R$64,$R$24,IF((C22+$R$25+$S$75)&lt;$R$64,$R$25,IF((C22+$R$26+$S$75)&lt;$R$64,$R$26,IF((C22+$R$27+$S$75)&lt;$R$64,$R$27,IF((C22+$R$28+$S$75)&lt;$R$64,$R$28,IF((C22+$R$29+$S$75)&lt;$R$64,$R$29,IF((C22+$R$30+$S$75)&lt;$R$64,$R$30,IF((C22+$R$31+$S$75)&lt;$R$64,$R$31," "))))))))))))</calculatedColumnFormula>
    </tableColumn>
    <tableColumn id="5" name="Saida 02" dataDxfId="9">
      <calculatedColumnFormula>VLOOKUP(D22,$R$21:$S$32,2,0)</calculatedColumnFormula>
    </tableColumn>
    <tableColumn id="6" name="PERDA REDE 1310" dataDxfId="8">
      <calculatedColumnFormula>IF(AND(D22=" ",C22=" ")," ",IF(AND(D22=" ",C22&gt;=0),C22+$S$75,D22+C22+$S$75))</calculatedColumnFormula>
    </tableColumn>
    <tableColumn id="14" name="PERDA REDE 1490" dataDxfId="7">
      <calculatedColumnFormula>IF(AND(D22=" ",C22=" ")," ",IF(AND(D22=" ",C22&gt;=0),C22+$S$76,D22+C22+$S$76))</calculatedColumnFormula>
    </tableColumn>
    <tableColumn id="7" name="SINAL ONU ATUAL" dataDxfId="6">
      <calculatedColumnFormula>IF(F22=" "," ",Q$55-G22)</calculatedColumnFormula>
    </tableColumn>
    <tableColumn id="10" name="SINAL ONU FUTRO" dataDxfId="5">
      <calculatedColumnFormula>IF(F22=" "," ",R$55-G22)</calculatedColumnFormula>
    </tableColumn>
    <tableColumn id="9" name="SINAL ONU MAX" dataDxfId="4">
      <calculatedColumnFormula>IF(F22=" "," ",S$55-G22)</calculatedColumnFormula>
    </tableColumn>
    <tableColumn id="8" name="SINAL OLT ATUAL" dataDxfId="3">
      <calculatedColumnFormula>IF(F22=" "," ",Q$56-F22)</calculatedColumnFormula>
    </tableColumn>
    <tableColumn id="11" name="SINAL OLT FUTURO" dataDxfId="2">
      <calculatedColumnFormula>IF(F22=" "," ",R$56-F22)</calculatedColumnFormula>
    </tableColumn>
    <tableColumn id="12" name="SINAL OLT MAX" dataDxfId="1">
      <calculatedColumnFormula>IF(F22=" "," ",S$56-F22)</calculatedColumnFormula>
    </tableColumn>
    <tableColumn id="13" name="REDES" dataDxfId="0">
      <calculatedColumnFormula>IF(M22&gt;=0,0,1)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showGridLines="0" tabSelected="1" zoomScale="75" zoomScaleNormal="75" workbookViewId="0">
      <selection activeCell="L13" sqref="L13"/>
    </sheetView>
  </sheetViews>
  <sheetFormatPr defaultRowHeight="15" x14ac:dyDescent="0.25"/>
  <cols>
    <col min="1" max="1" width="23.5703125" style="2" bestFit="1" customWidth="1"/>
    <col min="2" max="2" width="9.85546875" style="1" bestFit="1" customWidth="1"/>
    <col min="3" max="3" width="12" style="3" bestFit="1" customWidth="1"/>
    <col min="4" max="4" width="24" style="1" bestFit="1" customWidth="1"/>
    <col min="5" max="5" width="11.5703125" style="1" bestFit="1" customWidth="1"/>
    <col min="6" max="7" width="18.5703125" style="1" bestFit="1" customWidth="1"/>
    <col min="8" max="8" width="19.7109375" bestFit="1" customWidth="1"/>
    <col min="9" max="9" width="24" bestFit="1" customWidth="1"/>
    <col min="10" max="10" width="0.140625" customWidth="1"/>
    <col min="11" max="11" width="18.5703125" bestFit="1" customWidth="1"/>
    <col min="12" max="12" width="19.85546875" bestFit="1" customWidth="1"/>
    <col min="13" max="13" width="17" hidden="1" customWidth="1"/>
    <col min="14" max="14" width="8.7109375" hidden="1" customWidth="1"/>
    <col min="15" max="15" width="1.28515625" customWidth="1"/>
    <col min="16" max="16" width="4.42578125" style="1" bestFit="1" customWidth="1"/>
    <col min="17" max="17" width="17.42578125" style="2" bestFit="1" customWidth="1"/>
    <col min="19" max="19" width="10.28515625" bestFit="1" customWidth="1"/>
    <col min="20" max="20" width="6.85546875" style="54" bestFit="1" customWidth="1"/>
    <col min="25" max="25" width="10.28515625" bestFit="1" customWidth="1"/>
    <col min="28" max="28" width="17.42578125" bestFit="1" customWidth="1"/>
    <col min="30" max="30" width="17.42578125" bestFit="1" customWidth="1"/>
  </cols>
  <sheetData>
    <row r="1" spans="1:19" ht="15.75" thickBot="1" x14ac:dyDescent="0.3">
      <c r="A1" s="55" t="s">
        <v>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15.75" thickTop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46"/>
      <c r="R2" s="12"/>
      <c r="S2" s="12"/>
    </row>
    <row r="3" spans="1:19" ht="15.75" thickBot="1" x14ac:dyDescent="0.3">
      <c r="A3" s="55" t="s">
        <v>61</v>
      </c>
      <c r="B3" s="55"/>
      <c r="D3" s="57" t="s">
        <v>72</v>
      </c>
      <c r="E3" s="58"/>
      <c r="F3" s="53"/>
    </row>
    <row r="4" spans="1:19" ht="16.5" thickTop="1" thickBot="1" x14ac:dyDescent="0.3">
      <c r="A4" s="22" t="s">
        <v>52</v>
      </c>
      <c r="B4" s="33" t="s">
        <v>53</v>
      </c>
      <c r="D4" s="42" t="s">
        <v>69</v>
      </c>
      <c r="E4" s="24">
        <f>N20*C8*C7</f>
        <v>128</v>
      </c>
      <c r="H4" s="1"/>
      <c r="P4" s="55" t="s">
        <v>13</v>
      </c>
      <c r="Q4" s="55"/>
      <c r="R4" s="55"/>
      <c r="S4" s="64"/>
    </row>
    <row r="5" spans="1:19" ht="15.75" thickTop="1" x14ac:dyDescent="0.25">
      <c r="A5" s="25" t="s">
        <v>25</v>
      </c>
      <c r="B5" s="24">
        <v>2</v>
      </c>
      <c r="D5" s="42" t="s">
        <v>42</v>
      </c>
      <c r="E5" s="45">
        <f>N20</f>
        <v>16</v>
      </c>
      <c r="H5" s="1"/>
      <c r="P5" s="13"/>
      <c r="Q5" s="47" t="s">
        <v>52</v>
      </c>
      <c r="R5" s="13" t="s">
        <v>54</v>
      </c>
      <c r="S5" s="13" t="s">
        <v>55</v>
      </c>
    </row>
    <row r="6" spans="1:19" x14ac:dyDescent="0.25">
      <c r="A6" s="25" t="s">
        <v>26</v>
      </c>
      <c r="B6" s="24">
        <v>4</v>
      </c>
      <c r="D6" s="42" t="s">
        <v>70</v>
      </c>
      <c r="E6" s="43">
        <f>2500/E4</f>
        <v>19.53125</v>
      </c>
      <c r="H6" s="19"/>
      <c r="P6" s="10"/>
      <c r="Q6" s="48" t="s">
        <v>25</v>
      </c>
      <c r="R6" s="23">
        <v>0.5</v>
      </c>
      <c r="S6" s="10" t="s">
        <v>56</v>
      </c>
    </row>
    <row r="7" spans="1:19" x14ac:dyDescent="0.25">
      <c r="A7" s="25" t="s">
        <v>20</v>
      </c>
      <c r="B7" s="26">
        <v>0</v>
      </c>
      <c r="C7" s="39">
        <f>IF(B7=0,1,B7)</f>
        <v>1</v>
      </c>
      <c r="D7" s="42" t="s">
        <v>86</v>
      </c>
      <c r="E7" s="43">
        <f>1000/E4</f>
        <v>7.8125</v>
      </c>
      <c r="P7" s="10"/>
      <c r="Q7" s="48" t="s">
        <v>26</v>
      </c>
      <c r="R7" s="23">
        <v>0.1</v>
      </c>
      <c r="S7" s="10" t="s">
        <v>56</v>
      </c>
    </row>
    <row r="8" spans="1:19" x14ac:dyDescent="0.25">
      <c r="A8" s="25" t="s">
        <v>27</v>
      </c>
      <c r="B8" s="26">
        <v>8</v>
      </c>
      <c r="C8" s="39">
        <f>IF(B8=0,1,B8)</f>
        <v>8</v>
      </c>
      <c r="D8" s="42" t="s">
        <v>71</v>
      </c>
      <c r="E8" s="43">
        <f>1000/(E4*8)</f>
        <v>0.9765625</v>
      </c>
      <c r="H8" s="37"/>
      <c r="N8" s="21"/>
      <c r="P8" s="10"/>
      <c r="Q8" s="48" t="s">
        <v>29</v>
      </c>
      <c r="R8" s="23">
        <v>0.35</v>
      </c>
      <c r="S8" s="10" t="s">
        <v>49</v>
      </c>
    </row>
    <row r="9" spans="1:19" x14ac:dyDescent="0.25">
      <c r="A9" s="25" t="s">
        <v>50</v>
      </c>
      <c r="B9" s="27">
        <v>0</v>
      </c>
      <c r="D9"/>
      <c r="E9"/>
      <c r="H9" s="34"/>
      <c r="N9" s="21"/>
      <c r="P9" s="10"/>
      <c r="Q9" s="48" t="s">
        <v>30</v>
      </c>
      <c r="R9" s="23">
        <v>0.25</v>
      </c>
      <c r="S9" s="10" t="s">
        <v>49</v>
      </c>
    </row>
    <row r="10" spans="1:19" x14ac:dyDescent="0.25">
      <c r="A10" s="28" t="s">
        <v>51</v>
      </c>
      <c r="B10" s="29">
        <v>150</v>
      </c>
      <c r="D10" s="44" t="s">
        <v>75</v>
      </c>
      <c r="E10" s="52">
        <f>B9</f>
        <v>0</v>
      </c>
      <c r="F10" s="52">
        <v>5</v>
      </c>
      <c r="G10" s="52">
        <v>10</v>
      </c>
      <c r="H10" s="52">
        <v>15</v>
      </c>
      <c r="I10" s="52">
        <v>20</v>
      </c>
      <c r="N10" s="21"/>
    </row>
    <row r="11" spans="1:19" ht="15.75" thickBot="1" x14ac:dyDescent="0.3">
      <c r="D11" s="42" t="s">
        <v>73</v>
      </c>
      <c r="E11" s="41">
        <f>SMALL(Tabela1[SINAL ONU ATUAL],1)</f>
        <v>-25.925000000000004</v>
      </c>
      <c r="F11" s="41">
        <f>($E$11+$S$74)-(F10*$R$9)</f>
        <v>-27.175000000000004</v>
      </c>
      <c r="G11" s="41">
        <f>($E$11+$S$74)-(G10*$R$9)</f>
        <v>-28.425000000000004</v>
      </c>
      <c r="H11" s="41">
        <f>($E$11+$S$74)-(H10*$R$9)</f>
        <v>-29.675000000000004</v>
      </c>
      <c r="I11" s="41">
        <f>($E$11+$S$74)-(I10*$R$9)</f>
        <v>-30.925000000000004</v>
      </c>
      <c r="N11" s="21"/>
      <c r="P11" s="9" t="s">
        <v>13</v>
      </c>
      <c r="Q11" s="15"/>
      <c r="R11" s="9"/>
      <c r="S11" s="8"/>
    </row>
    <row r="12" spans="1:19" ht="15.75" thickTop="1" x14ac:dyDescent="0.25">
      <c r="A12" s="56"/>
      <c r="B12" s="56"/>
      <c r="D12" s="42" t="s">
        <v>74</v>
      </c>
      <c r="E12" s="41">
        <f>SMALL(Tabela1[SINAL ONU FUTRO],1)</f>
        <v>-27.925000000000004</v>
      </c>
      <c r="F12" s="41">
        <f>($E$12+$S$74)-(F10*$R$9)</f>
        <v>-29.175000000000004</v>
      </c>
      <c r="G12" s="41">
        <f>($E$12+$S$74)-(G10*$R$9)</f>
        <v>-30.425000000000004</v>
      </c>
      <c r="H12" s="41">
        <f>($E$12+$S$74)-(H10*$R$9)</f>
        <v>-31.675000000000004</v>
      </c>
      <c r="I12" s="41">
        <f>($E$12+$S$74)-(I10*$R$9)</f>
        <v>-32.925000000000004</v>
      </c>
      <c r="N12" s="21"/>
      <c r="P12" s="13" t="s">
        <v>15</v>
      </c>
      <c r="Q12" s="47" t="s">
        <v>12</v>
      </c>
      <c r="R12" s="13" t="s">
        <v>17</v>
      </c>
      <c r="S12" s="13" t="s">
        <v>18</v>
      </c>
    </row>
    <row r="13" spans="1:19" x14ac:dyDescent="0.25">
      <c r="A13" s="31" t="s">
        <v>52</v>
      </c>
      <c r="B13" s="32" t="s">
        <v>53</v>
      </c>
      <c r="D13" s="25"/>
      <c r="E13" s="25"/>
      <c r="F13" s="25"/>
      <c r="G13" s="25"/>
      <c r="H13" s="25"/>
      <c r="I13" s="25"/>
      <c r="N13" s="21"/>
      <c r="P13" s="6">
        <v>1</v>
      </c>
      <c r="Q13" s="49">
        <v>2</v>
      </c>
      <c r="R13" s="23">
        <v>3.5</v>
      </c>
      <c r="S13" s="23">
        <v>3.5</v>
      </c>
    </row>
    <row r="14" spans="1:19" x14ac:dyDescent="0.25">
      <c r="A14" s="38" t="s">
        <v>84</v>
      </c>
      <c r="B14" s="17" t="s">
        <v>67</v>
      </c>
      <c r="P14" s="6">
        <v>2</v>
      </c>
      <c r="Q14" s="49">
        <v>3</v>
      </c>
      <c r="R14" s="23">
        <v>7</v>
      </c>
      <c r="S14" s="23">
        <v>7</v>
      </c>
    </row>
    <row r="15" spans="1:19" x14ac:dyDescent="0.25">
      <c r="A15" s="38" t="s">
        <v>85</v>
      </c>
      <c r="B15" s="24" t="s">
        <v>77</v>
      </c>
      <c r="D15" s="44" t="s">
        <v>76</v>
      </c>
      <c r="E15" s="52">
        <f>B9</f>
        <v>0</v>
      </c>
      <c r="F15" s="52">
        <v>5</v>
      </c>
      <c r="G15" s="52">
        <v>10</v>
      </c>
      <c r="H15" s="52">
        <v>15</v>
      </c>
      <c r="I15" s="52">
        <v>20</v>
      </c>
      <c r="P15" s="6">
        <v>3</v>
      </c>
      <c r="Q15" s="49">
        <v>8</v>
      </c>
      <c r="R15" s="23">
        <v>10.5</v>
      </c>
      <c r="S15" s="23">
        <v>10.5</v>
      </c>
    </row>
    <row r="16" spans="1:19" x14ac:dyDescent="0.25">
      <c r="A16" s="28" t="s">
        <v>58</v>
      </c>
      <c r="B16" s="17">
        <v>5</v>
      </c>
      <c r="D16" s="42" t="s">
        <v>63</v>
      </c>
      <c r="E16" s="41">
        <f>SMALL(Tabela1[SINAL OLT ATUAL],1)</f>
        <v>-27.925000000000004</v>
      </c>
      <c r="F16" s="41">
        <f>($E$16+S73)-($R$8*F15)</f>
        <v>-29.675000000000004</v>
      </c>
      <c r="G16" s="41">
        <f>($E$16+T59)-($R$8*G15)</f>
        <v>-31.425000000000004</v>
      </c>
      <c r="H16" s="41">
        <f>($E$16+U59)-($R$8*H15)</f>
        <v>-33.175000000000004</v>
      </c>
      <c r="I16" s="41">
        <f>($E$16+V59)-($R$8*I15)</f>
        <v>-34.925000000000004</v>
      </c>
      <c r="P16" s="6">
        <v>4</v>
      </c>
      <c r="Q16" s="49">
        <v>16</v>
      </c>
      <c r="R16" s="23">
        <v>14</v>
      </c>
      <c r="S16" s="23">
        <v>14</v>
      </c>
    </row>
    <row r="17" spans="1:20" x14ac:dyDescent="0.25">
      <c r="A17" s="28" t="s">
        <v>59</v>
      </c>
      <c r="B17" s="17">
        <v>3</v>
      </c>
      <c r="D17" s="42" t="s">
        <v>66</v>
      </c>
      <c r="E17" s="41">
        <f>SMALL(Tabela1[SINAL OLT FUTURO],1)</f>
        <v>-30.425000000000004</v>
      </c>
      <c r="F17" s="41">
        <f>($E$17+S73)-($R$8*F15)</f>
        <v>-32.175000000000004</v>
      </c>
      <c r="G17" s="41">
        <f>($E$16+T60)-($R$8*G15)</f>
        <v>-31.425000000000004</v>
      </c>
      <c r="H17" s="41">
        <f>($E$16+U60)-($R$8*H15)</f>
        <v>-33.175000000000004</v>
      </c>
      <c r="I17" s="41">
        <f>($E$16+V60)-($R$8*I15)</f>
        <v>-34.925000000000004</v>
      </c>
    </row>
    <row r="18" spans="1:20" x14ac:dyDescent="0.25">
      <c r="A18" s="28" t="s">
        <v>64</v>
      </c>
      <c r="B18" s="14">
        <v>0</v>
      </c>
      <c r="D18" s="25"/>
      <c r="E18" s="25"/>
      <c r="F18" s="25"/>
      <c r="G18" s="25"/>
      <c r="H18" s="25"/>
      <c r="I18" s="25"/>
    </row>
    <row r="19" spans="1:20" ht="15.75" thickBot="1" x14ac:dyDescent="0.3">
      <c r="D19" s="16"/>
      <c r="H19" s="21"/>
      <c r="I19" s="20"/>
      <c r="P19" s="55" t="s">
        <v>14</v>
      </c>
      <c r="Q19" s="55"/>
      <c r="R19" s="55"/>
      <c r="S19" s="64"/>
    </row>
    <row r="20" spans="1:20" ht="15.75" thickTop="1" x14ac:dyDescent="0.25">
      <c r="A20" s="61" t="s">
        <v>40</v>
      </c>
      <c r="B20" s="62"/>
      <c r="C20" s="62"/>
      <c r="D20" s="62"/>
      <c r="E20" s="62"/>
      <c r="F20" s="62"/>
      <c r="G20" s="63"/>
      <c r="H20" s="60" t="s">
        <v>39</v>
      </c>
      <c r="I20" s="60"/>
      <c r="J20" s="60"/>
      <c r="K20" s="60" t="s">
        <v>38</v>
      </c>
      <c r="L20" s="60"/>
      <c r="M20" s="60"/>
      <c r="N20">
        <f>SUM(Tabela1[REDES])</f>
        <v>16</v>
      </c>
      <c r="P20" s="13" t="s">
        <v>15</v>
      </c>
      <c r="Q20" s="47" t="s">
        <v>12</v>
      </c>
      <c r="R20" s="13" t="s">
        <v>17</v>
      </c>
      <c r="S20" s="13" t="s">
        <v>18</v>
      </c>
    </row>
    <row r="21" spans="1:20" ht="15.75" thickBot="1" x14ac:dyDescent="0.3">
      <c r="A21" s="7" t="s">
        <v>11</v>
      </c>
      <c r="B21" s="7" t="s">
        <v>12</v>
      </c>
      <c r="C21" s="7" t="s">
        <v>16</v>
      </c>
      <c r="D21" s="7" t="s">
        <v>17</v>
      </c>
      <c r="E21" s="7" t="s">
        <v>18</v>
      </c>
      <c r="F21" s="7" t="s">
        <v>48</v>
      </c>
      <c r="G21" s="7" t="s">
        <v>47</v>
      </c>
      <c r="H21" s="7" t="s">
        <v>62</v>
      </c>
      <c r="I21" s="15" t="s">
        <v>65</v>
      </c>
      <c r="J21" s="15" t="s">
        <v>31</v>
      </c>
      <c r="K21" s="15" t="s">
        <v>63</v>
      </c>
      <c r="L21" s="15" t="s">
        <v>66</v>
      </c>
      <c r="M21" s="15" t="s">
        <v>32</v>
      </c>
      <c r="N21" s="15" t="s">
        <v>42</v>
      </c>
      <c r="P21" s="6">
        <v>5</v>
      </c>
      <c r="Q21" s="50" t="s">
        <v>0</v>
      </c>
      <c r="R21" s="23">
        <v>21.6</v>
      </c>
      <c r="S21" s="23">
        <v>0.3</v>
      </c>
      <c r="T21" s="54" t="s">
        <v>0</v>
      </c>
    </row>
    <row r="22" spans="1:20" ht="15.75" thickTop="1" x14ac:dyDescent="0.25">
      <c r="A22" s="1">
        <v>1</v>
      </c>
      <c r="B22" s="1" t="str">
        <f t="shared" ref="B22:B53" si="0">IF(D22&lt;&gt;" ",VLOOKUP(D22,$R$21:$T$31,3,0),"")</f>
        <v>2|98</v>
      </c>
      <c r="C22" s="3">
        <v>0</v>
      </c>
      <c r="D22" s="3">
        <f t="shared" ref="D22:D53" si="1">IF(ISERROR(IF((C22+$R$21+$S$75)&lt;$R$64,$R$21,IF((C22+$R$22+$S$75)&lt;$R$64,$R$22,IF((C22+$R$23+$S$75)&lt;$R$64,$R$23,IF((C22+$R$24+$S$75)&lt;$R$64,$R$24,IF((C22+$R$25+$S$75)&lt;$R$64,$R$25,IF((C22+$R$26+$S$75)&lt;$R$64,$R$26,IF((C22+$R$27+$S$75)&lt;$R$64,$R$27,IF((C22+$R$28+$S$75)&lt;$R$64,$R$28,IF((C22+$R$29+$S$75)&lt;$R$64,$R$29,IF((C22+$R$30+$S$75)&lt;$R$64,$R$30,IF((C22+$R$31+$S$75)&lt;$R$64,$R$31," "))))))))))))," ",IF((C22+$R$21+$S$75)&lt;$R$64,$R$21,IF((C22+$R$22+$S$75)&lt;$R$64,$R$22,IF((C22+$R$23+$S$75)&lt;$R$64,$R$23,IF((C22+$R$24+$S$75)&lt;$R$64,$R$24,IF((C22+$R$25+$S$75)&lt;$R$64,$R$25,IF((C22+$R$26+$S$75)&lt;$R$64,$R$26,IF((C22+$R$27+$S$75)&lt;$R$64,$R$27,IF((C22+$R$28+$S$75)&lt;$R$64,$R$28,IF((C22+$R$29+$S$75)&lt;$R$64,$R$29,IF((C22+$R$30+$S$75)&lt;$R$64,$R$30,IF((C22+$R$31+$S$75)&lt;$R$64,$R$31," "))))))))))))</f>
        <v>18.7</v>
      </c>
      <c r="E22" s="1">
        <f t="shared" ref="E22:E53" si="2">VLOOKUP(D22,$R$21:$S$32,2,0)</f>
        <v>0.4</v>
      </c>
      <c r="F22" s="4">
        <f t="shared" ref="F22:F53" si="3">IF(AND(D22=" ",C22=" ")," ",IF(AND(D22=" ",C22&gt;=0),C22+$S$75,D22+C22+$S$75))</f>
        <v>30.6</v>
      </c>
      <c r="G22" s="4">
        <f t="shared" ref="G22:G53" si="4">IF(AND(D22=" ",C22=" ")," ",IF(AND(D22=" ",C22&gt;=0),C22+$S$76,D22+C22+$S$76))</f>
        <v>30.6</v>
      </c>
      <c r="H22" s="40">
        <f t="shared" ref="H22:H53" si="5">IF(F22=" "," ",Q$55-G22)</f>
        <v>-25.6</v>
      </c>
      <c r="I22" s="40">
        <f t="shared" ref="I22:I53" si="6">IF(F22=" "," ",R$55-G22)</f>
        <v>-27.6</v>
      </c>
      <c r="J22" s="40">
        <f t="shared" ref="J22:J53" si="7">IF(F22=" "," ",S$55-G22)</f>
        <v>-23.6</v>
      </c>
      <c r="K22" s="40">
        <f t="shared" ref="K22:K53" si="8">IF(F22=" "," ",Q$56-F22)</f>
        <v>-27.6</v>
      </c>
      <c r="L22" s="40">
        <f t="shared" ref="L22:L53" si="9">IF(F22=" "," ",R$56-F22)</f>
        <v>-30.1</v>
      </c>
      <c r="M22">
        <f t="shared" ref="M22:M53" si="10">IF(F22=" "," ",S$56-F22)</f>
        <v>-25.6</v>
      </c>
      <c r="N22">
        <f t="shared" ref="N22:N53" si="11">IF(M22&gt;=0,0,1)</f>
        <v>1</v>
      </c>
      <c r="P22" s="6">
        <v>6</v>
      </c>
      <c r="Q22" s="50" t="s">
        <v>1</v>
      </c>
      <c r="R22" s="23">
        <v>18.7</v>
      </c>
      <c r="S22" s="23">
        <v>0.4</v>
      </c>
      <c r="T22" s="54" t="s">
        <v>1</v>
      </c>
    </row>
    <row r="23" spans="1:20" x14ac:dyDescent="0.25">
      <c r="A23" s="1">
        <v>2</v>
      </c>
      <c r="B23" s="1" t="str">
        <f t="shared" si="0"/>
        <v>5|95</v>
      </c>
      <c r="C23" s="3">
        <f t="shared" ref="C23:C54" si="12">IF(ISERROR(C22+E22+$S$79)," ",C22+E22+$S$79)</f>
        <v>0.65250000000000008</v>
      </c>
      <c r="D23" s="3">
        <f t="shared" si="1"/>
        <v>14.6</v>
      </c>
      <c r="E23" s="1">
        <f t="shared" si="2"/>
        <v>0.5</v>
      </c>
      <c r="F23" s="4">
        <f t="shared" si="3"/>
        <v>27.1525</v>
      </c>
      <c r="G23" s="4">
        <f t="shared" si="4"/>
        <v>27.1525</v>
      </c>
      <c r="H23" s="40">
        <f t="shared" si="5"/>
        <v>-22.1525</v>
      </c>
      <c r="I23" s="40">
        <f t="shared" si="6"/>
        <v>-24.1525</v>
      </c>
      <c r="J23" s="40">
        <f t="shared" si="7"/>
        <v>-20.1525</v>
      </c>
      <c r="K23" s="40">
        <f t="shared" si="8"/>
        <v>-24.1525</v>
      </c>
      <c r="L23" s="40">
        <f t="shared" si="9"/>
        <v>-26.6525</v>
      </c>
      <c r="M23">
        <f t="shared" si="10"/>
        <v>-22.1525</v>
      </c>
      <c r="N23">
        <f t="shared" si="11"/>
        <v>1</v>
      </c>
      <c r="P23" s="6">
        <v>7</v>
      </c>
      <c r="Q23" s="50" t="s">
        <v>2</v>
      </c>
      <c r="R23" s="23">
        <v>14.6</v>
      </c>
      <c r="S23" s="23">
        <v>0.5</v>
      </c>
      <c r="T23" s="54" t="s">
        <v>2</v>
      </c>
    </row>
    <row r="24" spans="1:20" x14ac:dyDescent="0.25">
      <c r="A24" s="1">
        <v>3</v>
      </c>
      <c r="B24" s="1" t="str">
        <f t="shared" si="0"/>
        <v>5|95</v>
      </c>
      <c r="C24" s="3">
        <f t="shared" si="12"/>
        <v>1.405</v>
      </c>
      <c r="D24" s="3">
        <f t="shared" si="1"/>
        <v>14.6</v>
      </c>
      <c r="E24" s="1">
        <f t="shared" si="2"/>
        <v>0.5</v>
      </c>
      <c r="F24" s="4">
        <f t="shared" si="3"/>
        <v>27.905000000000001</v>
      </c>
      <c r="G24" s="4">
        <f t="shared" si="4"/>
        <v>27.905000000000001</v>
      </c>
      <c r="H24" s="40">
        <f t="shared" si="5"/>
        <v>-22.905000000000001</v>
      </c>
      <c r="I24" s="40">
        <f t="shared" si="6"/>
        <v>-24.905000000000001</v>
      </c>
      <c r="J24" s="40">
        <f t="shared" si="7"/>
        <v>-20.905000000000001</v>
      </c>
      <c r="K24" s="40">
        <f t="shared" si="8"/>
        <v>-24.905000000000001</v>
      </c>
      <c r="L24" s="40">
        <f t="shared" si="9"/>
        <v>-27.405000000000001</v>
      </c>
      <c r="M24">
        <f t="shared" si="10"/>
        <v>-22.905000000000001</v>
      </c>
      <c r="N24">
        <f t="shared" si="11"/>
        <v>1</v>
      </c>
      <c r="P24" s="6">
        <v>8</v>
      </c>
      <c r="Q24" s="50" t="s">
        <v>3</v>
      </c>
      <c r="R24" s="23">
        <v>11</v>
      </c>
      <c r="S24" s="23">
        <v>0.7</v>
      </c>
      <c r="T24" s="54" t="s">
        <v>3</v>
      </c>
    </row>
    <row r="25" spans="1:20" x14ac:dyDescent="0.25">
      <c r="A25" s="1">
        <v>4</v>
      </c>
      <c r="B25" s="1" t="str">
        <f t="shared" si="0"/>
        <v>5|95</v>
      </c>
      <c r="C25" s="3">
        <f t="shared" si="12"/>
        <v>2.1575000000000002</v>
      </c>
      <c r="D25" s="3">
        <f t="shared" si="1"/>
        <v>14.6</v>
      </c>
      <c r="E25" s="1">
        <f t="shared" si="2"/>
        <v>0.5</v>
      </c>
      <c r="F25" s="4">
        <f t="shared" si="3"/>
        <v>28.657499999999999</v>
      </c>
      <c r="G25" s="4">
        <f t="shared" si="4"/>
        <v>28.657499999999999</v>
      </c>
      <c r="H25" s="40">
        <f t="shared" si="5"/>
        <v>-23.657499999999999</v>
      </c>
      <c r="I25" s="40">
        <f t="shared" si="6"/>
        <v>-25.657499999999999</v>
      </c>
      <c r="J25" s="40">
        <f t="shared" si="7"/>
        <v>-21.657499999999999</v>
      </c>
      <c r="K25" s="40">
        <f t="shared" si="8"/>
        <v>-25.657499999999999</v>
      </c>
      <c r="L25" s="40">
        <f t="shared" si="9"/>
        <v>-28.157499999999999</v>
      </c>
      <c r="M25">
        <f t="shared" si="10"/>
        <v>-23.657499999999999</v>
      </c>
      <c r="N25">
        <f t="shared" si="11"/>
        <v>1</v>
      </c>
      <c r="P25" s="6">
        <v>9</v>
      </c>
      <c r="Q25" s="50" t="s">
        <v>4</v>
      </c>
      <c r="R25" s="23">
        <v>9.6</v>
      </c>
      <c r="S25" s="23">
        <v>1</v>
      </c>
      <c r="T25" s="54" t="s">
        <v>4</v>
      </c>
    </row>
    <row r="26" spans="1:20" x14ac:dyDescent="0.25">
      <c r="A26" s="1">
        <v>5</v>
      </c>
      <c r="B26" s="1" t="str">
        <f t="shared" si="0"/>
        <v>5|95</v>
      </c>
      <c r="C26" s="3">
        <f t="shared" si="12"/>
        <v>2.91</v>
      </c>
      <c r="D26" s="3">
        <f t="shared" si="1"/>
        <v>14.6</v>
      </c>
      <c r="E26" s="1">
        <f t="shared" si="2"/>
        <v>0.5</v>
      </c>
      <c r="F26" s="4">
        <f t="shared" si="3"/>
        <v>29.409999999999997</v>
      </c>
      <c r="G26" s="4">
        <f t="shared" si="4"/>
        <v>29.409999999999997</v>
      </c>
      <c r="H26" s="40">
        <f t="shared" si="5"/>
        <v>-24.409999999999997</v>
      </c>
      <c r="I26" s="40">
        <f t="shared" si="6"/>
        <v>-26.409999999999997</v>
      </c>
      <c r="J26" s="40">
        <f t="shared" si="7"/>
        <v>-22.409999999999997</v>
      </c>
      <c r="K26" s="40">
        <f t="shared" si="8"/>
        <v>-26.409999999999997</v>
      </c>
      <c r="L26" s="40">
        <f t="shared" si="9"/>
        <v>-28.909999999999997</v>
      </c>
      <c r="M26">
        <f t="shared" si="10"/>
        <v>-24.409999999999997</v>
      </c>
      <c r="N26">
        <f t="shared" si="11"/>
        <v>1</v>
      </c>
      <c r="P26" s="6">
        <v>10</v>
      </c>
      <c r="Q26" s="50" t="s">
        <v>5</v>
      </c>
      <c r="R26" s="23">
        <v>7.9</v>
      </c>
      <c r="S26" s="23">
        <v>1.4</v>
      </c>
      <c r="T26" s="54" t="s">
        <v>5</v>
      </c>
    </row>
    <row r="27" spans="1:20" x14ac:dyDescent="0.25">
      <c r="A27" s="1">
        <v>6</v>
      </c>
      <c r="B27" s="1" t="str">
        <f t="shared" si="0"/>
        <v>5|95</v>
      </c>
      <c r="C27" s="3">
        <f t="shared" si="12"/>
        <v>3.6625000000000001</v>
      </c>
      <c r="D27" s="3">
        <f t="shared" si="1"/>
        <v>14.6</v>
      </c>
      <c r="E27" s="1">
        <f t="shared" si="2"/>
        <v>0.5</v>
      </c>
      <c r="F27" s="4">
        <f t="shared" si="3"/>
        <v>30.162500000000001</v>
      </c>
      <c r="G27" s="4">
        <f t="shared" si="4"/>
        <v>30.162500000000001</v>
      </c>
      <c r="H27" s="40">
        <f t="shared" si="5"/>
        <v>-25.162500000000001</v>
      </c>
      <c r="I27" s="40">
        <f t="shared" si="6"/>
        <v>-27.162500000000001</v>
      </c>
      <c r="J27" s="40">
        <f t="shared" si="7"/>
        <v>-23.162500000000001</v>
      </c>
      <c r="K27" s="40">
        <f t="shared" si="8"/>
        <v>-27.162500000000001</v>
      </c>
      <c r="L27" s="40">
        <f t="shared" si="9"/>
        <v>-29.662500000000001</v>
      </c>
      <c r="M27">
        <f t="shared" si="10"/>
        <v>-25.162500000000001</v>
      </c>
      <c r="N27">
        <f t="shared" si="11"/>
        <v>1</v>
      </c>
      <c r="P27" s="6">
        <v>11</v>
      </c>
      <c r="Q27" s="50" t="s">
        <v>6</v>
      </c>
      <c r="R27" s="23">
        <v>6.95</v>
      </c>
      <c r="S27" s="23">
        <v>1.7</v>
      </c>
      <c r="T27" s="54" t="s">
        <v>6</v>
      </c>
    </row>
    <row r="28" spans="1:20" x14ac:dyDescent="0.25">
      <c r="A28" s="1">
        <v>7</v>
      </c>
      <c r="B28" s="1" t="str">
        <f t="shared" si="0"/>
        <v>5|95</v>
      </c>
      <c r="C28" s="3">
        <f t="shared" si="12"/>
        <v>4.415</v>
      </c>
      <c r="D28" s="3">
        <f t="shared" si="1"/>
        <v>14.6</v>
      </c>
      <c r="E28" s="1">
        <f t="shared" si="2"/>
        <v>0.5</v>
      </c>
      <c r="F28" s="4">
        <f t="shared" si="3"/>
        <v>30.914999999999999</v>
      </c>
      <c r="G28" s="4">
        <f t="shared" si="4"/>
        <v>30.914999999999999</v>
      </c>
      <c r="H28" s="40">
        <f t="shared" si="5"/>
        <v>-25.914999999999999</v>
      </c>
      <c r="I28" s="40">
        <f t="shared" si="6"/>
        <v>-27.914999999999999</v>
      </c>
      <c r="J28" s="40">
        <f t="shared" si="7"/>
        <v>-23.914999999999999</v>
      </c>
      <c r="K28" s="40">
        <f t="shared" si="8"/>
        <v>-27.914999999999999</v>
      </c>
      <c r="L28" s="40">
        <f t="shared" si="9"/>
        <v>-30.414999999999999</v>
      </c>
      <c r="M28">
        <f t="shared" si="10"/>
        <v>-25.914999999999999</v>
      </c>
      <c r="N28">
        <f t="shared" si="11"/>
        <v>1</v>
      </c>
      <c r="P28" s="6">
        <v>12</v>
      </c>
      <c r="Q28" s="50" t="s">
        <v>7</v>
      </c>
      <c r="R28" s="23">
        <v>6</v>
      </c>
      <c r="S28" s="23">
        <v>1.9</v>
      </c>
      <c r="T28" s="54" t="s">
        <v>7</v>
      </c>
    </row>
    <row r="29" spans="1:20" x14ac:dyDescent="0.25">
      <c r="A29" s="1">
        <v>8</v>
      </c>
      <c r="B29" s="1" t="str">
        <f t="shared" si="0"/>
        <v>10|90</v>
      </c>
      <c r="C29" s="3">
        <f t="shared" si="12"/>
        <v>5.1675000000000004</v>
      </c>
      <c r="D29" s="3">
        <f t="shared" si="1"/>
        <v>11</v>
      </c>
      <c r="E29" s="1">
        <f t="shared" si="2"/>
        <v>0.7</v>
      </c>
      <c r="F29" s="4">
        <f t="shared" si="3"/>
        <v>28.067500000000003</v>
      </c>
      <c r="G29" s="4">
        <f t="shared" si="4"/>
        <v>28.067500000000003</v>
      </c>
      <c r="H29" s="40">
        <f t="shared" si="5"/>
        <v>-23.067500000000003</v>
      </c>
      <c r="I29" s="40">
        <f t="shared" si="6"/>
        <v>-25.067500000000003</v>
      </c>
      <c r="J29" s="40">
        <f t="shared" si="7"/>
        <v>-21.067500000000003</v>
      </c>
      <c r="K29" s="40">
        <f t="shared" si="8"/>
        <v>-25.067500000000003</v>
      </c>
      <c r="L29" s="40">
        <f t="shared" si="9"/>
        <v>-27.567500000000003</v>
      </c>
      <c r="M29">
        <f t="shared" si="10"/>
        <v>-23.067500000000003</v>
      </c>
      <c r="N29">
        <f t="shared" si="11"/>
        <v>1</v>
      </c>
      <c r="P29" s="6">
        <v>13</v>
      </c>
      <c r="Q29" s="50" t="s">
        <v>8</v>
      </c>
      <c r="R29" s="23">
        <v>5.35</v>
      </c>
      <c r="S29" s="23">
        <v>2.2999999999999998</v>
      </c>
      <c r="T29" s="54" t="s">
        <v>8</v>
      </c>
    </row>
    <row r="30" spans="1:20" x14ac:dyDescent="0.25">
      <c r="A30" s="1">
        <v>9</v>
      </c>
      <c r="B30" s="1" t="str">
        <f t="shared" si="0"/>
        <v>10|90</v>
      </c>
      <c r="C30" s="3">
        <f t="shared" si="12"/>
        <v>6.120000000000001</v>
      </c>
      <c r="D30" s="3">
        <f t="shared" si="1"/>
        <v>11</v>
      </c>
      <c r="E30" s="1">
        <f t="shared" si="2"/>
        <v>0.7</v>
      </c>
      <c r="F30" s="4">
        <f t="shared" si="3"/>
        <v>29.020000000000003</v>
      </c>
      <c r="G30" s="4">
        <f t="shared" si="4"/>
        <v>29.020000000000003</v>
      </c>
      <c r="H30" s="40">
        <f t="shared" si="5"/>
        <v>-24.020000000000003</v>
      </c>
      <c r="I30" s="40">
        <f t="shared" si="6"/>
        <v>-26.020000000000003</v>
      </c>
      <c r="J30" s="40">
        <f t="shared" si="7"/>
        <v>-22.020000000000003</v>
      </c>
      <c r="K30" s="40">
        <f t="shared" si="8"/>
        <v>-26.020000000000003</v>
      </c>
      <c r="L30" s="40">
        <f t="shared" si="9"/>
        <v>-28.520000000000003</v>
      </c>
      <c r="M30">
        <f t="shared" si="10"/>
        <v>-24.020000000000003</v>
      </c>
      <c r="N30">
        <f t="shared" si="11"/>
        <v>1</v>
      </c>
      <c r="P30" s="6">
        <v>14</v>
      </c>
      <c r="Q30" s="50" t="s">
        <v>9</v>
      </c>
      <c r="R30" s="23">
        <v>4.7</v>
      </c>
      <c r="S30" s="23">
        <v>2.7</v>
      </c>
      <c r="T30" s="54" t="s">
        <v>9</v>
      </c>
    </row>
    <row r="31" spans="1:20" x14ac:dyDescent="0.25">
      <c r="A31" s="1">
        <v>10</v>
      </c>
      <c r="B31" s="1" t="str">
        <f t="shared" si="0"/>
        <v>10|90</v>
      </c>
      <c r="C31" s="3">
        <f t="shared" si="12"/>
        <v>7.0725000000000016</v>
      </c>
      <c r="D31" s="3">
        <f t="shared" si="1"/>
        <v>11</v>
      </c>
      <c r="E31" s="1">
        <f t="shared" si="2"/>
        <v>0.7</v>
      </c>
      <c r="F31" s="4">
        <f t="shared" si="3"/>
        <v>29.972500000000004</v>
      </c>
      <c r="G31" s="4">
        <f t="shared" si="4"/>
        <v>29.972500000000004</v>
      </c>
      <c r="H31" s="40">
        <f t="shared" si="5"/>
        <v>-24.972500000000004</v>
      </c>
      <c r="I31" s="40">
        <f t="shared" si="6"/>
        <v>-26.972500000000004</v>
      </c>
      <c r="J31" s="40">
        <f t="shared" si="7"/>
        <v>-22.972500000000004</v>
      </c>
      <c r="K31" s="40">
        <f t="shared" si="8"/>
        <v>-26.972500000000004</v>
      </c>
      <c r="L31" s="40">
        <f t="shared" si="9"/>
        <v>-29.472500000000004</v>
      </c>
      <c r="M31">
        <f t="shared" si="10"/>
        <v>-24.972500000000004</v>
      </c>
      <c r="N31">
        <f t="shared" si="11"/>
        <v>1</v>
      </c>
      <c r="P31" s="6">
        <v>15</v>
      </c>
      <c r="Q31" s="50" t="s">
        <v>10</v>
      </c>
      <c r="R31" s="23">
        <v>4.1500000000000004</v>
      </c>
      <c r="S31" s="23">
        <v>3.15</v>
      </c>
      <c r="T31" s="54" t="s">
        <v>10</v>
      </c>
    </row>
    <row r="32" spans="1:20" x14ac:dyDescent="0.25">
      <c r="A32" s="1">
        <v>11</v>
      </c>
      <c r="B32" s="1" t="str">
        <f t="shared" si="0"/>
        <v>10|90</v>
      </c>
      <c r="C32" s="3">
        <f t="shared" si="12"/>
        <v>8.0250000000000021</v>
      </c>
      <c r="D32" s="3">
        <f t="shared" si="1"/>
        <v>11</v>
      </c>
      <c r="E32" s="1">
        <f t="shared" si="2"/>
        <v>0.7</v>
      </c>
      <c r="F32" s="4">
        <f t="shared" si="3"/>
        <v>30.925000000000004</v>
      </c>
      <c r="G32" s="4">
        <f t="shared" si="4"/>
        <v>30.925000000000004</v>
      </c>
      <c r="H32" s="40">
        <f t="shared" si="5"/>
        <v>-25.925000000000004</v>
      </c>
      <c r="I32" s="40">
        <f t="shared" si="6"/>
        <v>-27.925000000000004</v>
      </c>
      <c r="J32" s="40">
        <f t="shared" si="7"/>
        <v>-23.925000000000004</v>
      </c>
      <c r="K32" s="40">
        <f t="shared" si="8"/>
        <v>-27.925000000000004</v>
      </c>
      <c r="L32" s="40">
        <f t="shared" si="9"/>
        <v>-30.425000000000004</v>
      </c>
      <c r="M32">
        <f t="shared" si="10"/>
        <v>-25.925000000000004</v>
      </c>
      <c r="N32">
        <f t="shared" si="11"/>
        <v>1</v>
      </c>
      <c r="P32" s="5"/>
      <c r="Q32" s="51"/>
      <c r="R32" s="5" t="s">
        <v>19</v>
      </c>
      <c r="S32" s="5" t="s">
        <v>19</v>
      </c>
    </row>
    <row r="33" spans="1:19" ht="15.75" thickBot="1" x14ac:dyDescent="0.3">
      <c r="A33" s="1">
        <v>12</v>
      </c>
      <c r="B33" s="1" t="str">
        <f t="shared" si="0"/>
        <v>15|85</v>
      </c>
      <c r="C33" s="3">
        <f t="shared" si="12"/>
        <v>8.9775000000000009</v>
      </c>
      <c r="D33" s="3">
        <f t="shared" si="1"/>
        <v>9.6</v>
      </c>
      <c r="E33" s="1">
        <f t="shared" si="2"/>
        <v>1</v>
      </c>
      <c r="F33" s="4">
        <f t="shared" si="3"/>
        <v>30.477499999999999</v>
      </c>
      <c r="G33" s="4">
        <f t="shared" si="4"/>
        <v>30.477499999999999</v>
      </c>
      <c r="H33" s="40">
        <f t="shared" si="5"/>
        <v>-25.477499999999999</v>
      </c>
      <c r="I33" s="40">
        <f t="shared" si="6"/>
        <v>-27.477499999999999</v>
      </c>
      <c r="J33" s="40">
        <f t="shared" si="7"/>
        <v>-23.477499999999999</v>
      </c>
      <c r="K33" s="40">
        <f t="shared" si="8"/>
        <v>-27.477499999999999</v>
      </c>
      <c r="L33" s="40">
        <f t="shared" si="9"/>
        <v>-29.977499999999999</v>
      </c>
      <c r="M33">
        <f t="shared" si="10"/>
        <v>-25.477499999999999</v>
      </c>
      <c r="N33">
        <f t="shared" si="11"/>
        <v>1</v>
      </c>
      <c r="P33" s="55" t="s">
        <v>60</v>
      </c>
      <c r="Q33" s="55"/>
      <c r="R33" s="55"/>
      <c r="S33" s="55"/>
    </row>
    <row r="34" spans="1:19" ht="16.5" thickTop="1" thickBot="1" x14ac:dyDescent="0.3">
      <c r="A34" s="1">
        <v>13</v>
      </c>
      <c r="B34" s="1" t="str">
        <f t="shared" si="0"/>
        <v>20|80</v>
      </c>
      <c r="C34" s="3">
        <f t="shared" si="12"/>
        <v>10.23</v>
      </c>
      <c r="D34" s="3">
        <f t="shared" si="1"/>
        <v>7.9</v>
      </c>
      <c r="E34" s="1">
        <f t="shared" si="2"/>
        <v>1.4</v>
      </c>
      <c r="F34" s="4">
        <f t="shared" si="3"/>
        <v>30.03</v>
      </c>
      <c r="G34" s="4">
        <f t="shared" si="4"/>
        <v>30.03</v>
      </c>
      <c r="H34" s="40">
        <f t="shared" si="5"/>
        <v>-25.03</v>
      </c>
      <c r="I34" s="40">
        <f t="shared" si="6"/>
        <v>-27.03</v>
      </c>
      <c r="J34" s="40">
        <f t="shared" si="7"/>
        <v>-23.03</v>
      </c>
      <c r="K34" s="40">
        <f t="shared" si="8"/>
        <v>-27.03</v>
      </c>
      <c r="L34" s="40">
        <f t="shared" si="9"/>
        <v>-29.53</v>
      </c>
      <c r="M34">
        <f t="shared" si="10"/>
        <v>-25.03</v>
      </c>
      <c r="N34">
        <f t="shared" si="11"/>
        <v>1</v>
      </c>
      <c r="P34" s="6"/>
      <c r="Q34" s="55" t="s">
        <v>78</v>
      </c>
      <c r="R34" s="55"/>
      <c r="S34" s="55"/>
    </row>
    <row r="35" spans="1:19" ht="16.5" thickTop="1" thickBot="1" x14ac:dyDescent="0.3">
      <c r="A35" s="1">
        <v>14</v>
      </c>
      <c r="B35" s="1" t="str">
        <f t="shared" si="0"/>
        <v>25|75</v>
      </c>
      <c r="C35" s="3">
        <f t="shared" si="12"/>
        <v>11.8825</v>
      </c>
      <c r="D35" s="3">
        <f t="shared" si="1"/>
        <v>6.95</v>
      </c>
      <c r="E35" s="1">
        <f t="shared" si="2"/>
        <v>1.7</v>
      </c>
      <c r="F35" s="4">
        <f t="shared" si="3"/>
        <v>30.732500000000002</v>
      </c>
      <c r="G35" s="4">
        <f t="shared" si="4"/>
        <v>30.732500000000002</v>
      </c>
      <c r="H35" s="40">
        <f t="shared" si="5"/>
        <v>-25.732500000000002</v>
      </c>
      <c r="I35" s="40">
        <f t="shared" si="6"/>
        <v>-27.732500000000002</v>
      </c>
      <c r="J35" s="40">
        <f t="shared" si="7"/>
        <v>-23.732500000000002</v>
      </c>
      <c r="K35" s="40">
        <f t="shared" si="8"/>
        <v>-27.732500000000002</v>
      </c>
      <c r="L35" s="40">
        <f t="shared" si="9"/>
        <v>-30.232500000000002</v>
      </c>
      <c r="M35">
        <f t="shared" si="10"/>
        <v>-25.732500000000002</v>
      </c>
      <c r="N35">
        <f t="shared" si="11"/>
        <v>1</v>
      </c>
      <c r="P35" s="6"/>
      <c r="Q35" s="11" t="s">
        <v>83</v>
      </c>
      <c r="R35" s="11" t="s">
        <v>34</v>
      </c>
      <c r="S35" s="11" t="s">
        <v>35</v>
      </c>
    </row>
    <row r="36" spans="1:19" ht="15.75" thickTop="1" x14ac:dyDescent="0.25">
      <c r="A36" s="1">
        <v>15</v>
      </c>
      <c r="B36" s="1" t="str">
        <f t="shared" si="0"/>
        <v>40|60</v>
      </c>
      <c r="C36" s="3">
        <f t="shared" si="12"/>
        <v>13.834999999999999</v>
      </c>
      <c r="D36" s="3">
        <f t="shared" si="1"/>
        <v>4.7</v>
      </c>
      <c r="E36" s="1">
        <f t="shared" si="2"/>
        <v>2.7</v>
      </c>
      <c r="F36" s="4">
        <f t="shared" si="3"/>
        <v>30.435000000000002</v>
      </c>
      <c r="G36" s="4">
        <f t="shared" si="4"/>
        <v>30.435000000000002</v>
      </c>
      <c r="H36" s="40">
        <f t="shared" si="5"/>
        <v>-25.435000000000002</v>
      </c>
      <c r="I36" s="40">
        <f t="shared" si="6"/>
        <v>-27.435000000000002</v>
      </c>
      <c r="J36" s="40">
        <f t="shared" si="7"/>
        <v>-23.435000000000002</v>
      </c>
      <c r="K36" s="40">
        <f t="shared" si="8"/>
        <v>-27.435000000000002</v>
      </c>
      <c r="L36" s="40">
        <f t="shared" si="9"/>
        <v>-29.935000000000002</v>
      </c>
      <c r="M36">
        <f t="shared" si="10"/>
        <v>-25.435000000000002</v>
      </c>
      <c r="N36">
        <f t="shared" si="11"/>
        <v>1</v>
      </c>
      <c r="P36" s="6"/>
      <c r="Q36" s="50" t="s">
        <v>79</v>
      </c>
      <c r="R36" s="23">
        <v>3</v>
      </c>
      <c r="S36" s="23">
        <v>7</v>
      </c>
    </row>
    <row r="37" spans="1:19" x14ac:dyDescent="0.25">
      <c r="A37" s="1">
        <v>16</v>
      </c>
      <c r="B37" s="1" t="str">
        <f t="shared" si="0"/>
        <v/>
      </c>
      <c r="C37" s="3">
        <f t="shared" si="12"/>
        <v>16.787500000000001</v>
      </c>
      <c r="D37" s="3" t="str">
        <f t="shared" si="1"/>
        <v xml:space="preserve"> </v>
      </c>
      <c r="E37" s="1" t="str">
        <f t="shared" si="2"/>
        <v xml:space="preserve"> </v>
      </c>
      <c r="F37" s="4">
        <f t="shared" si="3"/>
        <v>28.6875</v>
      </c>
      <c r="G37" s="4">
        <f t="shared" si="4"/>
        <v>28.6875</v>
      </c>
      <c r="H37" s="40">
        <f t="shared" si="5"/>
        <v>-23.6875</v>
      </c>
      <c r="I37" s="40">
        <f t="shared" si="6"/>
        <v>-25.6875</v>
      </c>
      <c r="J37" s="40">
        <f t="shared" si="7"/>
        <v>-21.6875</v>
      </c>
      <c r="K37" s="40">
        <f t="shared" si="8"/>
        <v>-25.6875</v>
      </c>
      <c r="L37" s="40">
        <f t="shared" si="9"/>
        <v>-28.1875</v>
      </c>
      <c r="M37">
        <f t="shared" si="10"/>
        <v>-23.6875</v>
      </c>
      <c r="N37">
        <f t="shared" si="11"/>
        <v>1</v>
      </c>
      <c r="P37" s="6"/>
      <c r="Q37" s="50" t="s">
        <v>37</v>
      </c>
      <c r="R37" s="23">
        <v>-6</v>
      </c>
      <c r="S37" s="23">
        <v>-32</v>
      </c>
    </row>
    <row r="38" spans="1:19" x14ac:dyDescent="0.25">
      <c r="A38" s="1">
        <v>17</v>
      </c>
      <c r="B38" s="1" t="str">
        <f t="shared" si="0"/>
        <v/>
      </c>
      <c r="C38" s="3" t="str">
        <f t="shared" si="12"/>
        <v xml:space="preserve"> </v>
      </c>
      <c r="D38" s="3" t="str">
        <f t="shared" si="1"/>
        <v xml:space="preserve"> </v>
      </c>
      <c r="E38" s="1" t="str">
        <f t="shared" si="2"/>
        <v xml:space="preserve"> </v>
      </c>
      <c r="F38" s="4" t="str">
        <f t="shared" si="3"/>
        <v xml:space="preserve"> </v>
      </c>
      <c r="G38" s="4" t="str">
        <f t="shared" si="4"/>
        <v xml:space="preserve"> </v>
      </c>
      <c r="H38" s="40" t="str">
        <f t="shared" si="5"/>
        <v xml:space="preserve"> </v>
      </c>
      <c r="I38" s="40" t="str">
        <f t="shared" si="6"/>
        <v xml:space="preserve"> </v>
      </c>
      <c r="J38" s="40" t="str">
        <f t="shared" si="7"/>
        <v xml:space="preserve"> </v>
      </c>
      <c r="K38" s="40" t="str">
        <f t="shared" si="8"/>
        <v xml:space="preserve"> </v>
      </c>
      <c r="L38" s="40" t="str">
        <f t="shared" si="9"/>
        <v xml:space="preserve"> </v>
      </c>
      <c r="M38" t="str">
        <f t="shared" si="10"/>
        <v xml:space="preserve"> </v>
      </c>
      <c r="N38">
        <f t="shared" si="11"/>
        <v>0</v>
      </c>
      <c r="P38" s="6"/>
      <c r="Q38" s="50"/>
      <c r="R38" s="6"/>
      <c r="S38" s="6"/>
    </row>
    <row r="39" spans="1:19" ht="15.75" thickBot="1" x14ac:dyDescent="0.3">
      <c r="A39" s="1">
        <v>18</v>
      </c>
      <c r="B39" s="1" t="str">
        <f t="shared" si="0"/>
        <v/>
      </c>
      <c r="C39" s="3" t="str">
        <f t="shared" si="12"/>
        <v xml:space="preserve"> </v>
      </c>
      <c r="D39" s="3" t="str">
        <f t="shared" si="1"/>
        <v xml:space="preserve"> </v>
      </c>
      <c r="E39" s="1" t="str">
        <f t="shared" si="2"/>
        <v xml:space="preserve"> </v>
      </c>
      <c r="F39" s="4" t="str">
        <f t="shared" si="3"/>
        <v xml:space="preserve"> </v>
      </c>
      <c r="G39" s="4" t="str">
        <f t="shared" si="4"/>
        <v xml:space="preserve"> </v>
      </c>
      <c r="H39" s="40" t="str">
        <f t="shared" si="5"/>
        <v xml:space="preserve"> </v>
      </c>
      <c r="I39" s="40" t="str">
        <f t="shared" si="6"/>
        <v xml:space="preserve"> </v>
      </c>
      <c r="J39" s="40" t="str">
        <f t="shared" si="7"/>
        <v xml:space="preserve"> </v>
      </c>
      <c r="K39" s="40" t="str">
        <f t="shared" si="8"/>
        <v xml:space="preserve"> </v>
      </c>
      <c r="L39" s="40" t="str">
        <f t="shared" si="9"/>
        <v xml:space="preserve"> </v>
      </c>
      <c r="M39" t="str">
        <f t="shared" si="10"/>
        <v xml:space="preserve"> </v>
      </c>
      <c r="N39">
        <f t="shared" si="11"/>
        <v>0</v>
      </c>
      <c r="P39" s="6"/>
      <c r="Q39" s="55" t="s">
        <v>80</v>
      </c>
      <c r="R39" s="55"/>
      <c r="S39" s="55"/>
    </row>
    <row r="40" spans="1:19" ht="16.5" thickTop="1" thickBot="1" x14ac:dyDescent="0.3">
      <c r="A40" s="1">
        <v>19</v>
      </c>
      <c r="B40" s="1" t="str">
        <f t="shared" si="0"/>
        <v/>
      </c>
      <c r="C40" s="3" t="str">
        <f t="shared" si="12"/>
        <v xml:space="preserve"> </v>
      </c>
      <c r="D40" s="3" t="str">
        <f t="shared" si="1"/>
        <v xml:space="preserve"> </v>
      </c>
      <c r="E40" s="1" t="str">
        <f t="shared" si="2"/>
        <v xml:space="preserve"> </v>
      </c>
      <c r="F40" s="4" t="str">
        <f t="shared" si="3"/>
        <v xml:space="preserve"> </v>
      </c>
      <c r="G40" s="4" t="str">
        <f t="shared" si="4"/>
        <v xml:space="preserve"> </v>
      </c>
      <c r="H40" s="40" t="str">
        <f t="shared" si="5"/>
        <v xml:space="preserve"> </v>
      </c>
      <c r="I40" s="40" t="str">
        <f t="shared" si="6"/>
        <v xml:space="preserve"> </v>
      </c>
      <c r="J40" s="40" t="str">
        <f t="shared" si="7"/>
        <v xml:space="preserve"> </v>
      </c>
      <c r="K40" s="40" t="str">
        <f t="shared" si="8"/>
        <v xml:space="preserve"> </v>
      </c>
      <c r="L40" s="40" t="str">
        <f t="shared" si="9"/>
        <v xml:space="preserve"> </v>
      </c>
      <c r="M40" t="str">
        <f t="shared" si="10"/>
        <v xml:space="preserve"> </v>
      </c>
      <c r="N40">
        <f t="shared" si="11"/>
        <v>0</v>
      </c>
      <c r="P40" s="6"/>
      <c r="Q40" s="11" t="s">
        <v>83</v>
      </c>
      <c r="R40" s="11" t="s">
        <v>34</v>
      </c>
      <c r="S40" s="11" t="s">
        <v>35</v>
      </c>
    </row>
    <row r="41" spans="1:19" ht="15.75" thickTop="1" x14ac:dyDescent="0.25">
      <c r="A41" s="1">
        <v>20</v>
      </c>
      <c r="B41" s="1" t="str">
        <f t="shared" si="0"/>
        <v/>
      </c>
      <c r="C41" s="3" t="str">
        <f t="shared" si="12"/>
        <v xml:space="preserve"> </v>
      </c>
      <c r="D41" s="3" t="str">
        <f t="shared" si="1"/>
        <v xml:space="preserve"> </v>
      </c>
      <c r="E41" s="1" t="str">
        <f t="shared" si="2"/>
        <v xml:space="preserve"> </v>
      </c>
      <c r="F41" s="4" t="str">
        <f t="shared" si="3"/>
        <v xml:space="preserve"> </v>
      </c>
      <c r="G41" s="4" t="str">
        <f t="shared" si="4"/>
        <v xml:space="preserve"> </v>
      </c>
      <c r="H41" s="40" t="str">
        <f t="shared" si="5"/>
        <v xml:space="preserve"> </v>
      </c>
      <c r="I41" s="40" t="str">
        <f t="shared" si="6"/>
        <v xml:space="preserve"> </v>
      </c>
      <c r="J41" s="40" t="str">
        <f t="shared" si="7"/>
        <v xml:space="preserve"> </v>
      </c>
      <c r="K41" s="40" t="str">
        <f t="shared" si="8"/>
        <v xml:space="preserve"> </v>
      </c>
      <c r="L41" s="40" t="str">
        <f t="shared" si="9"/>
        <v xml:space="preserve"> </v>
      </c>
      <c r="M41" t="str">
        <f t="shared" si="10"/>
        <v xml:space="preserve"> </v>
      </c>
      <c r="N41">
        <f t="shared" si="11"/>
        <v>0</v>
      </c>
      <c r="P41" s="6"/>
      <c r="Q41" s="50" t="s">
        <v>79</v>
      </c>
      <c r="R41" s="23">
        <v>0.5</v>
      </c>
      <c r="S41" s="23">
        <v>5</v>
      </c>
    </row>
    <row r="42" spans="1:19" x14ac:dyDescent="0.25">
      <c r="A42" s="1">
        <v>21</v>
      </c>
      <c r="B42" s="1" t="str">
        <f t="shared" si="0"/>
        <v/>
      </c>
      <c r="C42" s="3" t="str">
        <f t="shared" si="12"/>
        <v xml:space="preserve"> </v>
      </c>
      <c r="D42" s="3" t="str">
        <f t="shared" si="1"/>
        <v xml:space="preserve"> </v>
      </c>
      <c r="E42" s="1" t="str">
        <f t="shared" si="2"/>
        <v xml:space="preserve"> </v>
      </c>
      <c r="F42" s="4" t="str">
        <f t="shared" si="3"/>
        <v xml:space="preserve"> </v>
      </c>
      <c r="G42" s="4" t="str">
        <f t="shared" si="4"/>
        <v xml:space="preserve"> </v>
      </c>
      <c r="H42" s="40" t="str">
        <f t="shared" si="5"/>
        <v xml:space="preserve"> </v>
      </c>
      <c r="I42" s="40" t="str">
        <f t="shared" si="6"/>
        <v xml:space="preserve"> </v>
      </c>
      <c r="J42" s="40" t="str">
        <f t="shared" si="7"/>
        <v xml:space="preserve"> </v>
      </c>
      <c r="K42" s="40" t="str">
        <f t="shared" si="8"/>
        <v xml:space="preserve"> </v>
      </c>
      <c r="L42" s="40" t="str">
        <f t="shared" si="9"/>
        <v xml:space="preserve"> </v>
      </c>
      <c r="M42" t="str">
        <f t="shared" si="10"/>
        <v xml:space="preserve"> </v>
      </c>
      <c r="N42">
        <f t="shared" si="11"/>
        <v>0</v>
      </c>
      <c r="P42" s="6"/>
      <c r="Q42" s="50" t="s">
        <v>37</v>
      </c>
      <c r="R42" s="23">
        <v>-6</v>
      </c>
      <c r="S42" s="23">
        <v>-28</v>
      </c>
    </row>
    <row r="43" spans="1:19" x14ac:dyDescent="0.25">
      <c r="A43" s="1">
        <v>22</v>
      </c>
      <c r="B43" s="1" t="str">
        <f t="shared" si="0"/>
        <v/>
      </c>
      <c r="C43" s="3" t="str">
        <f t="shared" si="12"/>
        <v xml:space="preserve"> </v>
      </c>
      <c r="D43" s="3" t="str">
        <f t="shared" si="1"/>
        <v xml:space="preserve"> </v>
      </c>
      <c r="E43" s="1" t="str">
        <f t="shared" si="2"/>
        <v xml:space="preserve"> </v>
      </c>
      <c r="F43" s="4" t="str">
        <f t="shared" si="3"/>
        <v xml:space="preserve"> </v>
      </c>
      <c r="G43" s="4" t="str">
        <f t="shared" si="4"/>
        <v xml:space="preserve"> </v>
      </c>
      <c r="H43" s="40" t="str">
        <f t="shared" si="5"/>
        <v xml:space="preserve"> </v>
      </c>
      <c r="I43" s="40" t="str">
        <f t="shared" si="6"/>
        <v xml:space="preserve"> </v>
      </c>
      <c r="J43" s="40" t="str">
        <f t="shared" si="7"/>
        <v xml:space="preserve"> </v>
      </c>
      <c r="K43" s="40" t="str">
        <f t="shared" si="8"/>
        <v xml:space="preserve"> </v>
      </c>
      <c r="L43" s="40" t="str">
        <f t="shared" si="9"/>
        <v xml:space="preserve"> </v>
      </c>
      <c r="M43" t="str">
        <f t="shared" si="10"/>
        <v xml:space="preserve"> </v>
      </c>
      <c r="N43">
        <f t="shared" si="11"/>
        <v>0</v>
      </c>
      <c r="P43" s="6"/>
      <c r="Q43" s="50"/>
      <c r="R43" s="6"/>
      <c r="S43" s="6"/>
    </row>
    <row r="44" spans="1:19" ht="15.75" thickBot="1" x14ac:dyDescent="0.3">
      <c r="A44" s="1">
        <v>23</v>
      </c>
      <c r="B44" s="1" t="str">
        <f t="shared" si="0"/>
        <v/>
      </c>
      <c r="C44" s="3" t="str">
        <f t="shared" si="12"/>
        <v xml:space="preserve"> </v>
      </c>
      <c r="D44" s="3" t="str">
        <f t="shared" si="1"/>
        <v xml:space="preserve"> </v>
      </c>
      <c r="E44" s="1" t="str">
        <f t="shared" si="2"/>
        <v xml:space="preserve"> </v>
      </c>
      <c r="F44" s="4" t="str">
        <f t="shared" si="3"/>
        <v xml:space="preserve"> </v>
      </c>
      <c r="G44" s="4" t="str">
        <f t="shared" si="4"/>
        <v xml:space="preserve"> </v>
      </c>
      <c r="H44" s="40" t="str">
        <f t="shared" si="5"/>
        <v xml:space="preserve"> </v>
      </c>
      <c r="I44" s="40" t="str">
        <f t="shared" si="6"/>
        <v xml:space="preserve"> </v>
      </c>
      <c r="J44" s="40" t="str">
        <f t="shared" si="7"/>
        <v xml:space="preserve"> </v>
      </c>
      <c r="K44" s="40" t="str">
        <f t="shared" si="8"/>
        <v xml:space="preserve"> </v>
      </c>
      <c r="L44" s="40" t="str">
        <f t="shared" si="9"/>
        <v xml:space="preserve"> </v>
      </c>
      <c r="M44" t="str">
        <f t="shared" si="10"/>
        <v xml:space="preserve"> </v>
      </c>
      <c r="N44">
        <f t="shared" si="11"/>
        <v>0</v>
      </c>
      <c r="P44" s="6"/>
      <c r="Q44" s="55" t="s">
        <v>82</v>
      </c>
      <c r="R44" s="55"/>
      <c r="S44" s="55"/>
    </row>
    <row r="45" spans="1:19" ht="16.5" thickTop="1" thickBot="1" x14ac:dyDescent="0.3">
      <c r="A45" s="1">
        <v>24</v>
      </c>
      <c r="B45" s="1" t="str">
        <f t="shared" si="0"/>
        <v/>
      </c>
      <c r="C45" s="3" t="str">
        <f t="shared" si="12"/>
        <v xml:space="preserve"> </v>
      </c>
      <c r="D45" s="3" t="str">
        <f t="shared" si="1"/>
        <v xml:space="preserve"> </v>
      </c>
      <c r="E45" s="1" t="str">
        <f t="shared" si="2"/>
        <v xml:space="preserve"> </v>
      </c>
      <c r="F45" s="4" t="str">
        <f t="shared" si="3"/>
        <v xml:space="preserve"> </v>
      </c>
      <c r="G45" s="4" t="str">
        <f t="shared" si="4"/>
        <v xml:space="preserve"> </v>
      </c>
      <c r="H45" s="40" t="str">
        <f t="shared" si="5"/>
        <v xml:space="preserve"> </v>
      </c>
      <c r="I45" s="40" t="str">
        <f t="shared" si="6"/>
        <v xml:space="preserve"> </v>
      </c>
      <c r="J45" s="40" t="str">
        <f t="shared" si="7"/>
        <v xml:space="preserve"> </v>
      </c>
      <c r="K45" s="40" t="str">
        <f t="shared" si="8"/>
        <v xml:space="preserve"> </v>
      </c>
      <c r="L45" s="40" t="str">
        <f t="shared" si="9"/>
        <v xml:space="preserve"> </v>
      </c>
      <c r="M45" t="str">
        <f t="shared" si="10"/>
        <v xml:space="preserve"> </v>
      </c>
      <c r="N45">
        <f t="shared" si="11"/>
        <v>0</v>
      </c>
      <c r="P45" s="6"/>
      <c r="Q45" s="11" t="s">
        <v>83</v>
      </c>
      <c r="R45" s="11" t="s">
        <v>34</v>
      </c>
      <c r="S45" s="11" t="s">
        <v>35</v>
      </c>
    </row>
    <row r="46" spans="1:19" ht="15.75" thickTop="1" x14ac:dyDescent="0.25">
      <c r="A46" s="1">
        <v>25</v>
      </c>
      <c r="B46" s="1" t="str">
        <f t="shared" si="0"/>
        <v/>
      </c>
      <c r="C46" s="3" t="str">
        <f t="shared" si="12"/>
        <v xml:space="preserve"> </v>
      </c>
      <c r="D46" s="3" t="str">
        <f t="shared" si="1"/>
        <v xml:space="preserve"> </v>
      </c>
      <c r="E46" s="1" t="str">
        <f t="shared" si="2"/>
        <v xml:space="preserve"> </v>
      </c>
      <c r="F46" s="4" t="str">
        <f t="shared" si="3"/>
        <v xml:space="preserve"> </v>
      </c>
      <c r="G46" s="4" t="str">
        <f t="shared" si="4"/>
        <v xml:space="preserve"> </v>
      </c>
      <c r="H46" s="40" t="str">
        <f t="shared" si="5"/>
        <v xml:space="preserve"> </v>
      </c>
      <c r="I46" s="40" t="str">
        <f t="shared" si="6"/>
        <v xml:space="preserve"> </v>
      </c>
      <c r="J46" s="40" t="str">
        <f t="shared" si="7"/>
        <v xml:space="preserve"> </v>
      </c>
      <c r="K46" s="40" t="str">
        <f t="shared" si="8"/>
        <v xml:space="preserve"> </v>
      </c>
      <c r="L46" s="40" t="str">
        <f t="shared" si="9"/>
        <v xml:space="preserve"> </v>
      </c>
      <c r="M46" t="str">
        <f t="shared" si="10"/>
        <v xml:space="preserve"> </v>
      </c>
      <c r="N46">
        <f t="shared" si="11"/>
        <v>0</v>
      </c>
      <c r="P46" s="6"/>
      <c r="Q46" s="50" t="s">
        <v>79</v>
      </c>
      <c r="R46" s="23">
        <v>0.5</v>
      </c>
      <c r="S46" s="23">
        <v>5</v>
      </c>
    </row>
    <row r="47" spans="1:19" x14ac:dyDescent="0.25">
      <c r="A47" s="1">
        <v>26</v>
      </c>
      <c r="B47" s="1" t="str">
        <f t="shared" si="0"/>
        <v/>
      </c>
      <c r="C47" s="3" t="str">
        <f t="shared" si="12"/>
        <v xml:space="preserve"> </v>
      </c>
      <c r="D47" s="3" t="str">
        <f t="shared" si="1"/>
        <v xml:space="preserve"> </v>
      </c>
      <c r="E47" s="1" t="str">
        <f t="shared" si="2"/>
        <v xml:space="preserve"> </v>
      </c>
      <c r="F47" s="4" t="str">
        <f t="shared" si="3"/>
        <v xml:space="preserve"> </v>
      </c>
      <c r="G47" s="4" t="str">
        <f t="shared" si="4"/>
        <v xml:space="preserve"> </v>
      </c>
      <c r="H47" s="40" t="str">
        <f t="shared" si="5"/>
        <v xml:space="preserve"> </v>
      </c>
      <c r="I47" s="40" t="str">
        <f t="shared" si="6"/>
        <v xml:space="preserve"> </v>
      </c>
      <c r="J47" s="40" t="str">
        <f t="shared" si="7"/>
        <v xml:space="preserve"> </v>
      </c>
      <c r="K47" s="40" t="str">
        <f t="shared" si="8"/>
        <v xml:space="preserve"> </v>
      </c>
      <c r="L47" s="40" t="str">
        <f t="shared" si="9"/>
        <v xml:space="preserve"> </v>
      </c>
      <c r="M47" t="str">
        <f t="shared" si="10"/>
        <v xml:space="preserve"> </v>
      </c>
      <c r="N47">
        <f t="shared" si="11"/>
        <v>0</v>
      </c>
      <c r="P47" s="6"/>
      <c r="Q47" s="50" t="s">
        <v>37</v>
      </c>
      <c r="R47" s="23">
        <v>-6</v>
      </c>
      <c r="S47" s="23">
        <v>-30</v>
      </c>
    </row>
    <row r="48" spans="1:19" x14ac:dyDescent="0.25">
      <c r="A48" s="1">
        <v>27</v>
      </c>
      <c r="B48" s="1" t="str">
        <f t="shared" si="0"/>
        <v/>
      </c>
      <c r="C48" s="3" t="str">
        <f t="shared" si="12"/>
        <v xml:space="preserve"> </v>
      </c>
      <c r="D48" s="3" t="str">
        <f t="shared" si="1"/>
        <v xml:space="preserve"> </v>
      </c>
      <c r="E48" s="1" t="str">
        <f t="shared" si="2"/>
        <v xml:space="preserve"> </v>
      </c>
      <c r="F48" s="4" t="str">
        <f t="shared" si="3"/>
        <v xml:space="preserve"> </v>
      </c>
      <c r="G48" s="4" t="str">
        <f t="shared" si="4"/>
        <v xml:space="preserve"> </v>
      </c>
      <c r="H48" s="40" t="str">
        <f t="shared" si="5"/>
        <v xml:space="preserve"> </v>
      </c>
      <c r="I48" s="40" t="str">
        <f t="shared" si="6"/>
        <v xml:space="preserve"> </v>
      </c>
      <c r="J48" s="40" t="str">
        <f t="shared" si="7"/>
        <v xml:space="preserve"> </v>
      </c>
      <c r="K48" s="40" t="str">
        <f t="shared" si="8"/>
        <v xml:space="preserve"> </v>
      </c>
      <c r="L48" s="40" t="str">
        <f t="shared" si="9"/>
        <v xml:space="preserve"> </v>
      </c>
      <c r="M48" t="str">
        <f t="shared" si="10"/>
        <v xml:space="preserve"> </v>
      </c>
      <c r="N48">
        <f t="shared" si="11"/>
        <v>0</v>
      </c>
      <c r="P48" s="6"/>
      <c r="Q48" s="50"/>
      <c r="R48" s="6"/>
      <c r="S48" s="6"/>
    </row>
    <row r="49" spans="1:19" ht="15.75" thickBot="1" x14ac:dyDescent="0.3">
      <c r="A49" s="1">
        <v>28</v>
      </c>
      <c r="B49" s="1" t="str">
        <f t="shared" si="0"/>
        <v/>
      </c>
      <c r="C49" s="3" t="str">
        <f t="shared" si="12"/>
        <v xml:space="preserve"> </v>
      </c>
      <c r="D49" s="3" t="str">
        <f t="shared" si="1"/>
        <v xml:space="preserve"> </v>
      </c>
      <c r="E49" s="1" t="str">
        <f t="shared" si="2"/>
        <v xml:space="preserve"> </v>
      </c>
      <c r="F49" s="4" t="str">
        <f t="shared" si="3"/>
        <v xml:space="preserve"> </v>
      </c>
      <c r="G49" s="4" t="str">
        <f t="shared" si="4"/>
        <v xml:space="preserve"> </v>
      </c>
      <c r="H49" s="40" t="str">
        <f t="shared" si="5"/>
        <v xml:space="preserve"> </v>
      </c>
      <c r="I49" s="40" t="str">
        <f t="shared" si="6"/>
        <v xml:space="preserve"> </v>
      </c>
      <c r="J49" s="40" t="str">
        <f t="shared" si="7"/>
        <v xml:space="preserve"> </v>
      </c>
      <c r="K49" s="40" t="str">
        <f t="shared" si="8"/>
        <v xml:space="preserve"> </v>
      </c>
      <c r="L49" s="40" t="str">
        <f t="shared" si="9"/>
        <v xml:space="preserve"> </v>
      </c>
      <c r="M49" t="str">
        <f t="shared" si="10"/>
        <v xml:space="preserve"> </v>
      </c>
      <c r="N49">
        <f t="shared" si="11"/>
        <v>0</v>
      </c>
      <c r="P49" s="6"/>
      <c r="Q49" s="55" t="s">
        <v>81</v>
      </c>
      <c r="R49" s="55"/>
      <c r="S49" s="55"/>
    </row>
    <row r="50" spans="1:19" ht="15.75" thickTop="1" x14ac:dyDescent="0.25">
      <c r="A50" s="1">
        <v>29</v>
      </c>
      <c r="B50" s="1" t="str">
        <f t="shared" si="0"/>
        <v/>
      </c>
      <c r="C50" s="3" t="str">
        <f t="shared" si="12"/>
        <v xml:space="preserve"> </v>
      </c>
      <c r="D50" s="3" t="str">
        <f t="shared" si="1"/>
        <v xml:space="preserve"> </v>
      </c>
      <c r="E50" s="1" t="str">
        <f t="shared" si="2"/>
        <v xml:space="preserve"> </v>
      </c>
      <c r="F50" s="4" t="str">
        <f t="shared" si="3"/>
        <v xml:space="preserve"> </v>
      </c>
      <c r="G50" s="4" t="str">
        <f t="shared" si="4"/>
        <v xml:space="preserve"> </v>
      </c>
      <c r="H50" s="40" t="str">
        <f t="shared" si="5"/>
        <v xml:space="preserve"> </v>
      </c>
      <c r="I50" s="40" t="str">
        <f t="shared" si="6"/>
        <v xml:space="preserve"> </v>
      </c>
      <c r="J50" s="40" t="str">
        <f t="shared" si="7"/>
        <v xml:space="preserve"> </v>
      </c>
      <c r="K50" s="40" t="str">
        <f t="shared" si="8"/>
        <v xml:space="preserve"> </v>
      </c>
      <c r="L50" s="40" t="str">
        <f t="shared" si="9"/>
        <v xml:space="preserve"> </v>
      </c>
      <c r="M50" t="str">
        <f t="shared" si="10"/>
        <v xml:space="preserve"> </v>
      </c>
      <c r="N50">
        <f t="shared" si="11"/>
        <v>0</v>
      </c>
      <c r="P50" s="6"/>
      <c r="Q50" s="50" t="s">
        <v>79</v>
      </c>
      <c r="R50" s="23">
        <v>0.5</v>
      </c>
      <c r="S50" s="23">
        <v>5</v>
      </c>
    </row>
    <row r="51" spans="1:19" x14ac:dyDescent="0.25">
      <c r="A51" s="1">
        <v>30</v>
      </c>
      <c r="B51" s="1" t="str">
        <f t="shared" si="0"/>
        <v/>
      </c>
      <c r="C51" s="3" t="str">
        <f t="shared" si="12"/>
        <v xml:space="preserve"> </v>
      </c>
      <c r="D51" s="3" t="str">
        <f t="shared" si="1"/>
        <v xml:space="preserve"> </v>
      </c>
      <c r="E51" s="1" t="str">
        <f t="shared" si="2"/>
        <v xml:space="preserve"> </v>
      </c>
      <c r="F51" s="4" t="str">
        <f t="shared" si="3"/>
        <v xml:space="preserve"> </v>
      </c>
      <c r="G51" s="4" t="str">
        <f t="shared" si="4"/>
        <v xml:space="preserve"> </v>
      </c>
      <c r="H51" s="40" t="str">
        <f t="shared" si="5"/>
        <v xml:space="preserve"> </v>
      </c>
      <c r="I51" s="40" t="str">
        <f t="shared" si="6"/>
        <v xml:space="preserve"> </v>
      </c>
      <c r="J51" s="40" t="str">
        <f t="shared" si="7"/>
        <v xml:space="preserve"> </v>
      </c>
      <c r="K51" s="40" t="str">
        <f t="shared" si="8"/>
        <v xml:space="preserve"> </v>
      </c>
      <c r="L51" s="40" t="str">
        <f t="shared" si="9"/>
        <v xml:space="preserve"> </v>
      </c>
      <c r="M51" t="str">
        <f t="shared" si="10"/>
        <v xml:space="preserve"> </v>
      </c>
      <c r="N51">
        <f t="shared" si="11"/>
        <v>0</v>
      </c>
      <c r="P51" s="6"/>
      <c r="Q51" s="50" t="s">
        <v>37</v>
      </c>
      <c r="R51" s="23">
        <v>-6</v>
      </c>
      <c r="S51" s="23">
        <v>-27</v>
      </c>
    </row>
    <row r="52" spans="1:19" x14ac:dyDescent="0.25">
      <c r="A52" s="1">
        <v>31</v>
      </c>
      <c r="B52" s="1" t="str">
        <f t="shared" si="0"/>
        <v/>
      </c>
      <c r="C52" s="3" t="str">
        <f t="shared" si="12"/>
        <v xml:space="preserve"> </v>
      </c>
      <c r="D52" s="3" t="str">
        <f t="shared" si="1"/>
        <v xml:space="preserve"> </v>
      </c>
      <c r="E52" s="1" t="str">
        <f t="shared" si="2"/>
        <v xml:space="preserve"> </v>
      </c>
      <c r="F52" s="4" t="str">
        <f t="shared" si="3"/>
        <v xml:space="preserve"> </v>
      </c>
      <c r="G52" s="4" t="str">
        <f t="shared" si="4"/>
        <v xml:space="preserve"> </v>
      </c>
      <c r="H52" s="40" t="str">
        <f t="shared" si="5"/>
        <v xml:space="preserve"> </v>
      </c>
      <c r="I52" s="40" t="str">
        <f t="shared" si="6"/>
        <v xml:space="preserve"> </v>
      </c>
      <c r="J52" s="40" t="str">
        <f t="shared" si="7"/>
        <v xml:space="preserve"> </v>
      </c>
      <c r="K52" s="40" t="str">
        <f t="shared" si="8"/>
        <v xml:space="preserve"> </v>
      </c>
      <c r="L52" s="40" t="str">
        <f t="shared" si="9"/>
        <v xml:space="preserve"> </v>
      </c>
      <c r="M52" t="str">
        <f t="shared" si="10"/>
        <v xml:space="preserve"> </v>
      </c>
      <c r="N52">
        <f t="shared" si="11"/>
        <v>0</v>
      </c>
    </row>
    <row r="53" spans="1:19" x14ac:dyDescent="0.25">
      <c r="A53" s="1">
        <v>32</v>
      </c>
      <c r="B53" s="1" t="str">
        <f t="shared" si="0"/>
        <v/>
      </c>
      <c r="C53" s="3" t="str">
        <f t="shared" si="12"/>
        <v xml:space="preserve"> </v>
      </c>
      <c r="D53" s="3" t="str">
        <f t="shared" si="1"/>
        <v xml:space="preserve"> </v>
      </c>
      <c r="E53" s="1" t="str">
        <f t="shared" si="2"/>
        <v xml:space="preserve"> </v>
      </c>
      <c r="F53" s="4" t="str">
        <f t="shared" si="3"/>
        <v xml:space="preserve"> </v>
      </c>
      <c r="G53" s="4" t="str">
        <f t="shared" si="4"/>
        <v xml:space="preserve"> </v>
      </c>
      <c r="H53" s="40" t="str">
        <f t="shared" si="5"/>
        <v xml:space="preserve"> </v>
      </c>
      <c r="I53" s="40" t="str">
        <f t="shared" si="6"/>
        <v xml:space="preserve"> </v>
      </c>
      <c r="J53" s="40" t="str">
        <f t="shared" si="7"/>
        <v xml:space="preserve"> </v>
      </c>
      <c r="K53" s="40" t="str">
        <f t="shared" si="8"/>
        <v xml:space="preserve"> </v>
      </c>
      <c r="L53" s="40" t="str">
        <f t="shared" si="9"/>
        <v xml:space="preserve"> </v>
      </c>
      <c r="M53" t="str">
        <f t="shared" si="10"/>
        <v xml:space="preserve"> </v>
      </c>
      <c r="N53">
        <f t="shared" si="11"/>
        <v>0</v>
      </c>
      <c r="P53" s="57" t="s">
        <v>36</v>
      </c>
      <c r="Q53" s="58"/>
      <c r="R53" s="58"/>
      <c r="S53" s="59"/>
    </row>
    <row r="54" spans="1:19" x14ac:dyDescent="0.25">
      <c r="A54" s="1">
        <v>33</v>
      </c>
      <c r="B54" s="1" t="str">
        <f t="shared" ref="B54:B85" si="13">IF(D54&lt;&gt;" ",VLOOKUP(D54,$R$21:$T$31,3,0),"")</f>
        <v/>
      </c>
      <c r="C54" s="3" t="str">
        <f t="shared" si="12"/>
        <v xml:space="preserve"> </v>
      </c>
      <c r="D54" s="3" t="str">
        <f t="shared" ref="D54:D85" si="14">IF(ISERROR(IF((C54+$R$21+$S$75)&lt;$R$64,$R$21,IF((C54+$R$22+$S$75)&lt;$R$64,$R$22,IF((C54+$R$23+$S$75)&lt;$R$64,$R$23,IF((C54+$R$24+$S$75)&lt;$R$64,$R$24,IF((C54+$R$25+$S$75)&lt;$R$64,$R$25,IF((C54+$R$26+$S$75)&lt;$R$64,$R$26,IF((C54+$R$27+$S$75)&lt;$R$64,$R$27,IF((C54+$R$28+$S$75)&lt;$R$64,$R$28,IF((C54+$R$29+$S$75)&lt;$R$64,$R$29,IF((C54+$R$30+$S$75)&lt;$R$64,$R$30,IF((C54+$R$31+$S$75)&lt;$R$64,$R$31," "))))))))))))," ",IF((C54+$R$21+$S$75)&lt;$R$64,$R$21,IF((C54+$R$22+$S$75)&lt;$R$64,$R$22,IF((C54+$R$23+$S$75)&lt;$R$64,$R$23,IF((C54+$R$24+$S$75)&lt;$R$64,$R$24,IF((C54+$R$25+$S$75)&lt;$R$64,$R$25,IF((C54+$R$26+$S$75)&lt;$R$64,$R$26,IF((C54+$R$27+$S$75)&lt;$R$64,$R$27,IF((C54+$R$28+$S$75)&lt;$R$64,$R$28,IF((C54+$R$29+$S$75)&lt;$R$64,$R$29,IF((C54+$R$30+$S$75)&lt;$R$64,$R$30,IF((C54+$R$31+$S$75)&lt;$R$64,$R$31," "))))))))))))</f>
        <v xml:space="preserve"> </v>
      </c>
      <c r="E54" s="1" t="str">
        <f t="shared" ref="E54:E85" si="15">VLOOKUP(D54,$R$21:$S$32,2,0)</f>
        <v xml:space="preserve"> </v>
      </c>
      <c r="F54" s="4" t="str">
        <f t="shared" ref="F54:F85" si="16">IF(AND(D54=" ",C54=" ")," ",IF(AND(D54=" ",C54&gt;=0),C54+$S$75,D54+C54+$S$75))</f>
        <v xml:space="preserve"> </v>
      </c>
      <c r="G54" s="4" t="str">
        <f t="shared" ref="G54:G85" si="17">IF(AND(D54=" ",C54=" ")," ",IF(AND(D54=" ",C54&gt;=0),C54+$S$76,D54+C54+$S$76))</f>
        <v xml:space="preserve"> </v>
      </c>
      <c r="H54" s="40" t="str">
        <f t="shared" ref="H54:H85" si="18">IF(F54=" "," ",Q$55-G54)</f>
        <v xml:space="preserve"> </v>
      </c>
      <c r="I54" s="40" t="str">
        <f t="shared" ref="I54:I85" si="19">IF(F54=" "," ",R$55-G54)</f>
        <v xml:space="preserve"> </v>
      </c>
      <c r="J54" s="40" t="str">
        <f t="shared" ref="J54:J85" si="20">IF(F54=" "," ",S$55-G54)</f>
        <v xml:space="preserve"> </v>
      </c>
      <c r="K54" s="40" t="str">
        <f t="shared" ref="K54:K85" si="21">IF(F54=" "," ",Q$56-F54)</f>
        <v xml:space="preserve"> </v>
      </c>
      <c r="L54" s="40" t="str">
        <f t="shared" ref="L54:L85" si="22">IF(F54=" "," ",R$56-F54)</f>
        <v xml:space="preserve"> </v>
      </c>
      <c r="M54" t="str">
        <f t="shared" ref="M54:M85" si="23">IF(F54=" "," ",S$56-F54)</f>
        <v xml:space="preserve"> </v>
      </c>
      <c r="N54">
        <f t="shared" ref="N54:N85" si="24">IF(M54&gt;=0,0,1)</f>
        <v>0</v>
      </c>
      <c r="P54" s="35"/>
      <c r="Q54" s="32" t="s">
        <v>33</v>
      </c>
      <c r="R54" s="32" t="s">
        <v>34</v>
      </c>
      <c r="S54" s="32" t="s">
        <v>35</v>
      </c>
    </row>
    <row r="55" spans="1:19" x14ac:dyDescent="0.25">
      <c r="A55" s="1">
        <v>34</v>
      </c>
      <c r="B55" s="1" t="str">
        <f t="shared" si="13"/>
        <v/>
      </c>
      <c r="C55" s="3" t="str">
        <f t="shared" ref="C55:C85" si="25">IF(ISERROR(C54+E54+$S$79)," ",C54+E54+$S$79)</f>
        <v xml:space="preserve"> </v>
      </c>
      <c r="D55" s="3" t="str">
        <f t="shared" si="14"/>
        <v xml:space="preserve"> </v>
      </c>
      <c r="E55" s="1" t="str">
        <f t="shared" si="15"/>
        <v xml:space="preserve"> </v>
      </c>
      <c r="F55" s="4" t="str">
        <f t="shared" si="16"/>
        <v xml:space="preserve"> </v>
      </c>
      <c r="G55" s="4" t="str">
        <f t="shared" si="17"/>
        <v xml:space="preserve"> </v>
      </c>
      <c r="H55" s="40" t="str">
        <f t="shared" si="18"/>
        <v xml:space="preserve"> </v>
      </c>
      <c r="I55" s="40" t="str">
        <f t="shared" si="19"/>
        <v xml:space="preserve"> </v>
      </c>
      <c r="J55" s="40" t="str">
        <f t="shared" si="20"/>
        <v xml:space="preserve"> </v>
      </c>
      <c r="K55" s="40" t="str">
        <f t="shared" si="21"/>
        <v xml:space="preserve"> </v>
      </c>
      <c r="L55" s="40" t="str">
        <f t="shared" si="22"/>
        <v xml:space="preserve"> </v>
      </c>
      <c r="M55" t="str">
        <f t="shared" si="23"/>
        <v xml:space="preserve"> </v>
      </c>
      <c r="N55">
        <f t="shared" si="24"/>
        <v>0</v>
      </c>
      <c r="P55" s="35" t="s">
        <v>38</v>
      </c>
      <c r="Q55" s="17">
        <f>B16</f>
        <v>5</v>
      </c>
      <c r="R55" s="17">
        <f>IF(B14="C+",R36,R41)</f>
        <v>3</v>
      </c>
      <c r="S55" s="17">
        <f>IF(B14="C+",S36,S41)</f>
        <v>7</v>
      </c>
    </row>
    <row r="56" spans="1:19" x14ac:dyDescent="0.25">
      <c r="A56" s="1">
        <v>35</v>
      </c>
      <c r="B56" s="1" t="str">
        <f t="shared" si="13"/>
        <v/>
      </c>
      <c r="C56" s="3" t="str">
        <f t="shared" si="25"/>
        <v xml:space="preserve"> </v>
      </c>
      <c r="D56" s="3" t="str">
        <f t="shared" si="14"/>
        <v xml:space="preserve"> </v>
      </c>
      <c r="E56" s="1" t="str">
        <f t="shared" si="15"/>
        <v xml:space="preserve"> </v>
      </c>
      <c r="F56" s="4" t="str">
        <f t="shared" si="16"/>
        <v xml:space="preserve"> </v>
      </c>
      <c r="G56" s="4" t="str">
        <f t="shared" si="17"/>
        <v xml:space="preserve"> </v>
      </c>
      <c r="H56" s="40" t="str">
        <f t="shared" si="18"/>
        <v xml:space="preserve"> </v>
      </c>
      <c r="I56" s="40" t="str">
        <f t="shared" si="19"/>
        <v xml:space="preserve"> </v>
      </c>
      <c r="J56" s="40" t="str">
        <f t="shared" si="20"/>
        <v xml:space="preserve"> </v>
      </c>
      <c r="K56" s="40" t="str">
        <f t="shared" si="21"/>
        <v xml:space="preserve"> </v>
      </c>
      <c r="L56" s="40" t="str">
        <f t="shared" si="22"/>
        <v xml:space="preserve"> </v>
      </c>
      <c r="M56" t="str">
        <f t="shared" si="23"/>
        <v xml:space="preserve"> </v>
      </c>
      <c r="N56">
        <f t="shared" si="24"/>
        <v>0</v>
      </c>
      <c r="P56" s="35" t="s">
        <v>39</v>
      </c>
      <c r="Q56" s="17">
        <f>B17</f>
        <v>3</v>
      </c>
      <c r="R56" s="17">
        <f>IF(B15="C+",R46,R50)</f>
        <v>0.5</v>
      </c>
      <c r="S56" s="17">
        <f>IF(B15="C+",S46,S50)</f>
        <v>5</v>
      </c>
    </row>
    <row r="57" spans="1:19" x14ac:dyDescent="0.25">
      <c r="A57" s="1">
        <v>36</v>
      </c>
      <c r="B57" s="1" t="str">
        <f t="shared" si="13"/>
        <v/>
      </c>
      <c r="C57" s="3" t="str">
        <f t="shared" si="25"/>
        <v xml:space="preserve"> </v>
      </c>
      <c r="D57" s="3" t="str">
        <f t="shared" si="14"/>
        <v xml:space="preserve"> </v>
      </c>
      <c r="E57" s="1" t="str">
        <f t="shared" si="15"/>
        <v xml:space="preserve"> </v>
      </c>
      <c r="F57" s="4" t="str">
        <f t="shared" si="16"/>
        <v xml:space="preserve"> </v>
      </c>
      <c r="G57" s="4" t="str">
        <f t="shared" si="17"/>
        <v xml:space="preserve"> </v>
      </c>
      <c r="H57" s="40" t="str">
        <f t="shared" si="18"/>
        <v xml:space="preserve"> </v>
      </c>
      <c r="I57" s="40" t="str">
        <f t="shared" si="19"/>
        <v xml:space="preserve"> </v>
      </c>
      <c r="J57" s="40" t="str">
        <f t="shared" si="20"/>
        <v xml:space="preserve"> </v>
      </c>
      <c r="K57" s="40" t="str">
        <f t="shared" si="21"/>
        <v xml:space="preserve"> </v>
      </c>
      <c r="L57" s="40" t="str">
        <f t="shared" si="22"/>
        <v xml:space="preserve"> </v>
      </c>
      <c r="M57" t="str">
        <f t="shared" si="23"/>
        <v xml:space="preserve"> </v>
      </c>
      <c r="N57">
        <f t="shared" si="24"/>
        <v>0</v>
      </c>
      <c r="Q57" s="1"/>
    </row>
    <row r="58" spans="1:19" x14ac:dyDescent="0.25">
      <c r="A58" s="1">
        <v>37</v>
      </c>
      <c r="B58" s="1" t="str">
        <f t="shared" si="13"/>
        <v/>
      </c>
      <c r="C58" s="3" t="str">
        <f t="shared" si="25"/>
        <v xml:space="preserve"> </v>
      </c>
      <c r="D58" s="3" t="str">
        <f t="shared" si="14"/>
        <v xml:space="preserve"> </v>
      </c>
      <c r="E58" s="1" t="str">
        <f t="shared" si="15"/>
        <v xml:space="preserve"> </v>
      </c>
      <c r="F58" s="4" t="str">
        <f t="shared" si="16"/>
        <v xml:space="preserve"> </v>
      </c>
      <c r="G58" s="4" t="str">
        <f t="shared" si="17"/>
        <v xml:space="preserve"> </v>
      </c>
      <c r="H58" s="40" t="str">
        <f t="shared" si="18"/>
        <v xml:space="preserve"> </v>
      </c>
      <c r="I58" s="40" t="str">
        <f t="shared" si="19"/>
        <v xml:space="preserve"> </v>
      </c>
      <c r="J58" s="40" t="str">
        <f t="shared" si="20"/>
        <v xml:space="preserve"> </v>
      </c>
      <c r="K58" s="40" t="str">
        <f t="shared" si="21"/>
        <v xml:space="preserve"> </v>
      </c>
      <c r="L58" s="40" t="str">
        <f t="shared" si="22"/>
        <v xml:space="preserve"> </v>
      </c>
      <c r="M58" t="str">
        <f t="shared" si="23"/>
        <v xml:space="preserve"> </v>
      </c>
      <c r="N58">
        <f t="shared" si="24"/>
        <v>0</v>
      </c>
      <c r="P58" s="56" t="s">
        <v>37</v>
      </c>
      <c r="Q58" s="56"/>
      <c r="R58" s="56"/>
      <c r="S58" s="56"/>
    </row>
    <row r="59" spans="1:19" x14ac:dyDescent="0.25">
      <c r="A59" s="1">
        <v>38</v>
      </c>
      <c r="B59" s="1" t="str">
        <f t="shared" si="13"/>
        <v/>
      </c>
      <c r="C59" s="3" t="str">
        <f t="shared" si="25"/>
        <v xml:space="preserve"> </v>
      </c>
      <c r="D59" s="3" t="str">
        <f t="shared" si="14"/>
        <v xml:space="preserve"> </v>
      </c>
      <c r="E59" s="1" t="str">
        <f t="shared" si="15"/>
        <v xml:space="preserve"> </v>
      </c>
      <c r="F59" s="4" t="str">
        <f t="shared" si="16"/>
        <v xml:space="preserve"> </v>
      </c>
      <c r="G59" s="4" t="str">
        <f t="shared" si="17"/>
        <v xml:space="preserve"> </v>
      </c>
      <c r="H59" s="40" t="str">
        <f t="shared" si="18"/>
        <v xml:space="preserve"> </v>
      </c>
      <c r="I59" s="40" t="str">
        <f t="shared" si="19"/>
        <v xml:space="preserve"> </v>
      </c>
      <c r="J59" s="40" t="str">
        <f t="shared" si="20"/>
        <v xml:space="preserve"> </v>
      </c>
      <c r="K59" s="40" t="str">
        <f t="shared" si="21"/>
        <v xml:space="preserve"> </v>
      </c>
      <c r="L59" s="40" t="str">
        <f t="shared" si="22"/>
        <v xml:space="preserve"> </v>
      </c>
      <c r="M59" t="str">
        <f t="shared" si="23"/>
        <v xml:space="preserve"> </v>
      </c>
      <c r="N59">
        <f t="shared" si="24"/>
        <v>0</v>
      </c>
      <c r="P59" s="35"/>
      <c r="Q59" s="36"/>
      <c r="R59" s="32" t="s">
        <v>34</v>
      </c>
      <c r="S59" s="32" t="s">
        <v>35</v>
      </c>
    </row>
    <row r="60" spans="1:19" x14ac:dyDescent="0.25">
      <c r="A60" s="1">
        <v>39</v>
      </c>
      <c r="B60" s="1" t="str">
        <f t="shared" si="13"/>
        <v/>
      </c>
      <c r="C60" s="3" t="str">
        <f t="shared" si="25"/>
        <v xml:space="preserve"> </v>
      </c>
      <c r="D60" s="3" t="str">
        <f t="shared" si="14"/>
        <v xml:space="preserve"> </v>
      </c>
      <c r="E60" s="1" t="str">
        <f t="shared" si="15"/>
        <v xml:space="preserve"> </v>
      </c>
      <c r="F60" s="4" t="str">
        <f t="shared" si="16"/>
        <v xml:space="preserve"> </v>
      </c>
      <c r="G60" s="4" t="str">
        <f t="shared" si="17"/>
        <v xml:space="preserve"> </v>
      </c>
      <c r="H60" s="40" t="str">
        <f t="shared" si="18"/>
        <v xml:space="preserve"> </v>
      </c>
      <c r="I60" s="40" t="str">
        <f t="shared" si="19"/>
        <v xml:space="preserve"> </v>
      </c>
      <c r="J60" s="40" t="str">
        <f t="shared" si="20"/>
        <v xml:space="preserve"> </v>
      </c>
      <c r="K60" s="40" t="str">
        <f t="shared" si="21"/>
        <v xml:space="preserve"> </v>
      </c>
      <c r="L60" s="40" t="str">
        <f t="shared" si="22"/>
        <v xml:space="preserve"> </v>
      </c>
      <c r="M60" t="str">
        <f t="shared" si="23"/>
        <v xml:space="preserve"> </v>
      </c>
      <c r="N60">
        <f t="shared" si="24"/>
        <v>0</v>
      </c>
      <c r="P60" s="35" t="s">
        <v>38</v>
      </c>
      <c r="Q60" s="17"/>
      <c r="R60" s="17">
        <f>IF(B14="C+",R37,R42)</f>
        <v>-6</v>
      </c>
      <c r="S60" s="17">
        <f>IF(B14="C+",S37,S42)</f>
        <v>-32</v>
      </c>
    </row>
    <row r="61" spans="1:19" x14ac:dyDescent="0.25">
      <c r="A61" s="1">
        <v>40</v>
      </c>
      <c r="B61" s="1" t="str">
        <f t="shared" si="13"/>
        <v/>
      </c>
      <c r="C61" s="3" t="str">
        <f t="shared" si="25"/>
        <v xml:space="preserve"> </v>
      </c>
      <c r="D61" s="3" t="str">
        <f t="shared" si="14"/>
        <v xml:space="preserve"> </v>
      </c>
      <c r="E61" s="1" t="str">
        <f t="shared" si="15"/>
        <v xml:space="preserve"> </v>
      </c>
      <c r="F61" s="4" t="str">
        <f t="shared" si="16"/>
        <v xml:space="preserve"> </v>
      </c>
      <c r="G61" s="4" t="str">
        <f t="shared" si="17"/>
        <v xml:space="preserve"> </v>
      </c>
      <c r="H61" s="40" t="str">
        <f t="shared" si="18"/>
        <v xml:space="preserve"> </v>
      </c>
      <c r="I61" s="40" t="str">
        <f t="shared" si="19"/>
        <v xml:space="preserve"> </v>
      </c>
      <c r="J61" s="40" t="str">
        <f t="shared" si="20"/>
        <v xml:space="preserve"> </v>
      </c>
      <c r="K61" s="40" t="str">
        <f t="shared" si="21"/>
        <v xml:space="preserve"> </v>
      </c>
      <c r="L61" s="40" t="str">
        <f t="shared" si="22"/>
        <v xml:space="preserve"> </v>
      </c>
      <c r="M61" t="str">
        <f t="shared" si="23"/>
        <v xml:space="preserve"> </v>
      </c>
      <c r="N61">
        <f t="shared" si="24"/>
        <v>0</v>
      </c>
      <c r="P61" s="35" t="s">
        <v>39</v>
      </c>
      <c r="Q61" s="17"/>
      <c r="R61" s="17">
        <f>IF(B15="C+",R47,R51)</f>
        <v>-6</v>
      </c>
      <c r="S61" s="17">
        <v>-28</v>
      </c>
    </row>
    <row r="62" spans="1:19" x14ac:dyDescent="0.25">
      <c r="A62" s="1">
        <v>41</v>
      </c>
      <c r="B62" s="1" t="str">
        <f t="shared" si="13"/>
        <v/>
      </c>
      <c r="C62" s="3" t="str">
        <f t="shared" si="25"/>
        <v xml:space="preserve"> </v>
      </c>
      <c r="D62" s="3" t="str">
        <f t="shared" si="14"/>
        <v xml:space="preserve"> </v>
      </c>
      <c r="E62" s="1" t="str">
        <f t="shared" si="15"/>
        <v xml:space="preserve"> </v>
      </c>
      <c r="F62" s="4" t="str">
        <f t="shared" si="16"/>
        <v xml:space="preserve"> </v>
      </c>
      <c r="G62" s="4" t="str">
        <f t="shared" si="17"/>
        <v xml:space="preserve"> </v>
      </c>
      <c r="H62" s="40" t="str">
        <f t="shared" si="18"/>
        <v xml:space="preserve"> </v>
      </c>
      <c r="I62" s="40" t="str">
        <f t="shared" si="19"/>
        <v xml:space="preserve"> </v>
      </c>
      <c r="J62" s="40" t="str">
        <f t="shared" si="20"/>
        <v xml:space="preserve"> </v>
      </c>
      <c r="K62" s="40" t="str">
        <f t="shared" si="21"/>
        <v xml:space="preserve"> </v>
      </c>
      <c r="L62" s="40" t="str">
        <f t="shared" si="22"/>
        <v xml:space="preserve"> </v>
      </c>
      <c r="M62" t="str">
        <f t="shared" si="23"/>
        <v xml:space="preserve"> </v>
      </c>
      <c r="N62">
        <f t="shared" si="24"/>
        <v>0</v>
      </c>
    </row>
    <row r="63" spans="1:19" x14ac:dyDescent="0.25">
      <c r="A63" s="1">
        <v>42</v>
      </c>
      <c r="B63" s="1" t="str">
        <f t="shared" si="13"/>
        <v/>
      </c>
      <c r="C63" s="3" t="str">
        <f t="shared" si="25"/>
        <v xml:space="preserve"> </v>
      </c>
      <c r="D63" s="3" t="str">
        <f t="shared" si="14"/>
        <v xml:space="preserve"> </v>
      </c>
      <c r="E63" s="1" t="str">
        <f t="shared" si="15"/>
        <v xml:space="preserve"> </v>
      </c>
      <c r="F63" s="4" t="str">
        <f t="shared" si="16"/>
        <v xml:space="preserve"> </v>
      </c>
      <c r="G63" s="4" t="str">
        <f t="shared" si="17"/>
        <v xml:space="preserve"> </v>
      </c>
      <c r="H63" s="40" t="str">
        <f t="shared" si="18"/>
        <v xml:space="preserve"> </v>
      </c>
      <c r="I63" s="40" t="str">
        <f t="shared" si="19"/>
        <v xml:space="preserve"> </v>
      </c>
      <c r="J63" s="40" t="str">
        <f t="shared" si="20"/>
        <v xml:space="preserve"> </v>
      </c>
      <c r="K63" s="40" t="str">
        <f t="shared" si="21"/>
        <v xml:space="preserve"> </v>
      </c>
      <c r="L63" s="40" t="str">
        <f t="shared" si="22"/>
        <v xml:space="preserve"> </v>
      </c>
      <c r="M63" t="str">
        <f t="shared" si="23"/>
        <v xml:space="preserve"> </v>
      </c>
      <c r="N63">
        <f t="shared" si="24"/>
        <v>0</v>
      </c>
      <c r="Q63" s="31" t="s">
        <v>22</v>
      </c>
      <c r="R63" s="30">
        <f>-S61+R55</f>
        <v>31</v>
      </c>
    </row>
    <row r="64" spans="1:19" x14ac:dyDescent="0.25">
      <c r="A64" s="1">
        <v>43</v>
      </c>
      <c r="B64" s="1" t="str">
        <f t="shared" si="13"/>
        <v/>
      </c>
      <c r="C64" s="3" t="str">
        <f t="shared" si="25"/>
        <v xml:space="preserve"> </v>
      </c>
      <c r="D64" s="3" t="str">
        <f t="shared" si="14"/>
        <v xml:space="preserve"> </v>
      </c>
      <c r="E64" s="1" t="str">
        <f t="shared" si="15"/>
        <v xml:space="preserve"> </v>
      </c>
      <c r="F64" s="4" t="str">
        <f t="shared" si="16"/>
        <v xml:space="preserve"> </v>
      </c>
      <c r="G64" s="4" t="str">
        <f t="shared" si="17"/>
        <v xml:space="preserve"> </v>
      </c>
      <c r="H64" s="40" t="str">
        <f t="shared" si="18"/>
        <v xml:space="preserve"> </v>
      </c>
      <c r="I64" s="40" t="str">
        <f t="shared" si="19"/>
        <v xml:space="preserve"> </v>
      </c>
      <c r="J64" s="40" t="str">
        <f t="shared" si="20"/>
        <v xml:space="preserve"> </v>
      </c>
      <c r="K64" s="40" t="str">
        <f t="shared" si="21"/>
        <v xml:space="preserve"> </v>
      </c>
      <c r="L64" s="40" t="str">
        <f t="shared" si="22"/>
        <v xml:space="preserve"> </v>
      </c>
      <c r="M64" t="str">
        <f t="shared" si="23"/>
        <v xml:space="preserve"> </v>
      </c>
      <c r="N64">
        <f t="shared" si="24"/>
        <v>0</v>
      </c>
      <c r="Q64" s="31" t="s">
        <v>24</v>
      </c>
      <c r="R64" s="30">
        <f>R63-B18</f>
        <v>31</v>
      </c>
    </row>
    <row r="65" spans="1:19" x14ac:dyDescent="0.25">
      <c r="A65" s="1">
        <v>44</v>
      </c>
      <c r="B65" s="1" t="str">
        <f t="shared" si="13"/>
        <v/>
      </c>
      <c r="C65" s="3" t="str">
        <f t="shared" si="25"/>
        <v xml:space="preserve"> </v>
      </c>
      <c r="D65" s="3" t="str">
        <f t="shared" si="14"/>
        <v xml:space="preserve"> </v>
      </c>
      <c r="E65" s="1" t="str">
        <f t="shared" si="15"/>
        <v xml:space="preserve"> </v>
      </c>
      <c r="F65" s="4" t="str">
        <f t="shared" si="16"/>
        <v xml:space="preserve"> </v>
      </c>
      <c r="G65" s="4" t="str">
        <f t="shared" si="17"/>
        <v xml:space="preserve"> </v>
      </c>
      <c r="H65" s="40" t="str">
        <f t="shared" si="18"/>
        <v xml:space="preserve"> </v>
      </c>
      <c r="I65" s="40" t="str">
        <f t="shared" si="19"/>
        <v xml:space="preserve"> </v>
      </c>
      <c r="J65" s="40" t="str">
        <f t="shared" si="20"/>
        <v xml:space="preserve"> </v>
      </c>
      <c r="K65" s="40" t="str">
        <f t="shared" si="21"/>
        <v xml:space="preserve"> </v>
      </c>
      <c r="L65" s="40" t="str">
        <f t="shared" si="22"/>
        <v xml:space="preserve"> </v>
      </c>
      <c r="M65" t="str">
        <f t="shared" si="23"/>
        <v xml:space="preserve"> </v>
      </c>
      <c r="N65">
        <f t="shared" si="24"/>
        <v>0</v>
      </c>
    </row>
    <row r="66" spans="1:19" x14ac:dyDescent="0.25">
      <c r="A66" s="1">
        <v>45</v>
      </c>
      <c r="B66" s="1" t="str">
        <f t="shared" si="13"/>
        <v/>
      </c>
      <c r="C66" s="3" t="str">
        <f t="shared" si="25"/>
        <v xml:space="preserve"> </v>
      </c>
      <c r="D66" s="3" t="str">
        <f t="shared" si="14"/>
        <v xml:space="preserve"> </v>
      </c>
      <c r="E66" s="1" t="str">
        <f t="shared" si="15"/>
        <v xml:space="preserve"> </v>
      </c>
      <c r="F66" s="4" t="str">
        <f t="shared" si="16"/>
        <v xml:space="preserve"> </v>
      </c>
      <c r="G66" s="4" t="str">
        <f t="shared" si="17"/>
        <v xml:space="preserve"> </v>
      </c>
      <c r="H66" s="40" t="str">
        <f t="shared" si="18"/>
        <v xml:space="preserve"> </v>
      </c>
      <c r="I66" s="40" t="str">
        <f t="shared" si="19"/>
        <v xml:space="preserve"> </v>
      </c>
      <c r="J66" s="40" t="str">
        <f t="shared" si="20"/>
        <v xml:space="preserve"> </v>
      </c>
      <c r="K66" s="40" t="str">
        <f t="shared" si="21"/>
        <v xml:space="preserve"> </v>
      </c>
      <c r="L66" s="40" t="str">
        <f t="shared" si="22"/>
        <v xml:space="preserve"> </v>
      </c>
      <c r="M66" t="str">
        <f t="shared" si="23"/>
        <v xml:space="preserve"> </v>
      </c>
      <c r="N66">
        <f t="shared" si="24"/>
        <v>0</v>
      </c>
    </row>
    <row r="67" spans="1:19" ht="15.75" thickBot="1" x14ac:dyDescent="0.3">
      <c r="A67" s="1">
        <v>46</v>
      </c>
      <c r="B67" s="1" t="str">
        <f t="shared" si="13"/>
        <v/>
      </c>
      <c r="C67" s="3" t="str">
        <f t="shared" si="25"/>
        <v xml:space="preserve"> </v>
      </c>
      <c r="D67" s="3" t="str">
        <f t="shared" si="14"/>
        <v xml:space="preserve"> </v>
      </c>
      <c r="E67" s="1" t="str">
        <f t="shared" si="15"/>
        <v xml:space="preserve"> </v>
      </c>
      <c r="F67" s="4" t="str">
        <f t="shared" si="16"/>
        <v xml:space="preserve"> </v>
      </c>
      <c r="G67" s="4" t="str">
        <f t="shared" si="17"/>
        <v xml:space="preserve"> </v>
      </c>
      <c r="H67" s="40" t="str">
        <f t="shared" si="18"/>
        <v xml:space="preserve"> </v>
      </c>
      <c r="I67" s="40" t="str">
        <f t="shared" si="19"/>
        <v xml:space="preserve"> </v>
      </c>
      <c r="J67" s="40" t="str">
        <f t="shared" si="20"/>
        <v xml:space="preserve"> </v>
      </c>
      <c r="K67" s="40" t="str">
        <f t="shared" si="21"/>
        <v xml:space="preserve"> </v>
      </c>
      <c r="L67" s="40" t="str">
        <f t="shared" si="22"/>
        <v xml:space="preserve"> </v>
      </c>
      <c r="M67" t="str">
        <f t="shared" si="23"/>
        <v xml:space="preserve"> </v>
      </c>
      <c r="N67">
        <f t="shared" si="24"/>
        <v>0</v>
      </c>
      <c r="P67" s="55" t="s">
        <v>68</v>
      </c>
      <c r="Q67" s="55"/>
      <c r="R67" s="55"/>
      <c r="S67" s="9"/>
    </row>
    <row r="68" spans="1:19" ht="16.5" thickTop="1" thickBot="1" x14ac:dyDescent="0.3">
      <c r="A68" s="1">
        <v>47</v>
      </c>
      <c r="B68" s="1" t="str">
        <f t="shared" si="13"/>
        <v/>
      </c>
      <c r="C68" s="3" t="str">
        <f t="shared" si="25"/>
        <v xml:space="preserve"> </v>
      </c>
      <c r="D68" s="3" t="str">
        <f t="shared" si="14"/>
        <v xml:space="preserve"> </v>
      </c>
      <c r="E68" s="1" t="str">
        <f t="shared" si="15"/>
        <v xml:space="preserve"> </v>
      </c>
      <c r="F68" s="4" t="str">
        <f t="shared" si="16"/>
        <v xml:space="preserve"> </v>
      </c>
      <c r="G68" s="4" t="str">
        <f t="shared" si="17"/>
        <v xml:space="preserve"> </v>
      </c>
      <c r="H68" s="40" t="str">
        <f t="shared" si="18"/>
        <v xml:space="preserve"> </v>
      </c>
      <c r="I68" s="40" t="str">
        <f t="shared" si="19"/>
        <v xml:space="preserve"> </v>
      </c>
      <c r="J68" s="40" t="str">
        <f t="shared" si="20"/>
        <v xml:space="preserve"> </v>
      </c>
      <c r="K68" s="40" t="str">
        <f t="shared" si="21"/>
        <v xml:space="preserve"> </v>
      </c>
      <c r="L68" s="40" t="str">
        <f t="shared" si="22"/>
        <v xml:space="preserve"> </v>
      </c>
      <c r="M68" t="str">
        <f t="shared" si="23"/>
        <v xml:space="preserve"> </v>
      </c>
      <c r="N68">
        <f t="shared" si="24"/>
        <v>0</v>
      </c>
      <c r="P68" s="6"/>
      <c r="Q68" s="55" t="s">
        <v>28</v>
      </c>
      <c r="R68" s="55"/>
      <c r="S68" s="55"/>
    </row>
    <row r="69" spans="1:19" ht="16.5" thickTop="1" thickBot="1" x14ac:dyDescent="0.3">
      <c r="A69" s="1">
        <v>48</v>
      </c>
      <c r="B69" s="1" t="str">
        <f t="shared" si="13"/>
        <v/>
      </c>
      <c r="C69" s="3" t="str">
        <f t="shared" si="25"/>
        <v xml:space="preserve"> </v>
      </c>
      <c r="D69" s="3" t="str">
        <f t="shared" si="14"/>
        <v xml:space="preserve"> </v>
      </c>
      <c r="E69" s="1" t="str">
        <f t="shared" si="15"/>
        <v xml:space="preserve"> </v>
      </c>
      <c r="F69" s="4" t="str">
        <f t="shared" si="16"/>
        <v xml:space="preserve"> </v>
      </c>
      <c r="G69" s="4" t="str">
        <f t="shared" si="17"/>
        <v xml:space="preserve"> </v>
      </c>
      <c r="H69" s="40" t="str">
        <f t="shared" si="18"/>
        <v xml:space="preserve"> </v>
      </c>
      <c r="I69" s="40" t="str">
        <f t="shared" si="19"/>
        <v xml:space="preserve"> </v>
      </c>
      <c r="J69" s="40" t="str">
        <f t="shared" si="20"/>
        <v xml:space="preserve"> </v>
      </c>
      <c r="K69" s="40" t="str">
        <f t="shared" si="21"/>
        <v xml:space="preserve"> </v>
      </c>
      <c r="L69" s="40" t="str">
        <f t="shared" si="22"/>
        <v xml:space="preserve"> </v>
      </c>
      <c r="M69" t="str">
        <f t="shared" si="23"/>
        <v xml:space="preserve"> </v>
      </c>
      <c r="N69">
        <f t="shared" si="24"/>
        <v>0</v>
      </c>
      <c r="P69" s="6"/>
      <c r="Q69" s="11" t="s">
        <v>25</v>
      </c>
      <c r="R69" s="23">
        <f>B5</f>
        <v>2</v>
      </c>
      <c r="S69" s="23">
        <f>R69*R6</f>
        <v>1</v>
      </c>
    </row>
    <row r="70" spans="1:19" ht="16.5" thickTop="1" thickBot="1" x14ac:dyDescent="0.3">
      <c r="A70" s="1">
        <v>49</v>
      </c>
      <c r="B70" s="1" t="str">
        <f t="shared" si="13"/>
        <v/>
      </c>
      <c r="C70" s="3" t="str">
        <f t="shared" si="25"/>
        <v xml:space="preserve"> </v>
      </c>
      <c r="D70" s="3" t="str">
        <f t="shared" si="14"/>
        <v xml:space="preserve"> </v>
      </c>
      <c r="E70" s="1" t="str">
        <f t="shared" si="15"/>
        <v xml:space="preserve"> </v>
      </c>
      <c r="F70" s="4" t="str">
        <f t="shared" si="16"/>
        <v xml:space="preserve"> </v>
      </c>
      <c r="G70" s="4" t="str">
        <f t="shared" si="17"/>
        <v xml:space="preserve"> </v>
      </c>
      <c r="H70" s="40" t="str">
        <f t="shared" si="18"/>
        <v xml:space="preserve"> </v>
      </c>
      <c r="I70" s="40" t="str">
        <f t="shared" si="19"/>
        <v xml:space="preserve"> </v>
      </c>
      <c r="J70" s="40" t="str">
        <f t="shared" si="20"/>
        <v xml:space="preserve"> </v>
      </c>
      <c r="K70" s="40" t="str">
        <f t="shared" si="21"/>
        <v xml:space="preserve"> </v>
      </c>
      <c r="L70" s="40" t="str">
        <f t="shared" si="22"/>
        <v xml:space="preserve"> </v>
      </c>
      <c r="M70" t="str">
        <f t="shared" si="23"/>
        <v xml:space="preserve"> </v>
      </c>
      <c r="N70">
        <f t="shared" si="24"/>
        <v>0</v>
      </c>
      <c r="P70" s="6"/>
      <c r="Q70" s="11" t="s">
        <v>26</v>
      </c>
      <c r="R70" s="23">
        <f>B6</f>
        <v>4</v>
      </c>
      <c r="S70" s="23">
        <f>R70*R7</f>
        <v>0.4</v>
      </c>
    </row>
    <row r="71" spans="1:19" ht="16.5" thickTop="1" thickBot="1" x14ac:dyDescent="0.3">
      <c r="A71" s="1">
        <v>50</v>
      </c>
      <c r="B71" s="1" t="str">
        <f t="shared" si="13"/>
        <v/>
      </c>
      <c r="C71" s="3" t="str">
        <f t="shared" si="25"/>
        <v xml:space="preserve"> </v>
      </c>
      <c r="D71" s="3" t="str">
        <f t="shared" si="14"/>
        <v xml:space="preserve"> </v>
      </c>
      <c r="E71" s="1" t="str">
        <f t="shared" si="15"/>
        <v xml:space="preserve"> </v>
      </c>
      <c r="F71" s="4" t="str">
        <f t="shared" si="16"/>
        <v xml:space="preserve"> </v>
      </c>
      <c r="G71" s="4" t="str">
        <f t="shared" si="17"/>
        <v xml:space="preserve"> </v>
      </c>
      <c r="H71" s="40" t="str">
        <f t="shared" si="18"/>
        <v xml:space="preserve"> </v>
      </c>
      <c r="I71" s="40" t="str">
        <f t="shared" si="19"/>
        <v xml:space="preserve"> </v>
      </c>
      <c r="J71" s="40" t="str">
        <f t="shared" si="20"/>
        <v xml:space="preserve"> </v>
      </c>
      <c r="K71" s="40" t="str">
        <f t="shared" si="21"/>
        <v xml:space="preserve"> </v>
      </c>
      <c r="L71" s="40" t="str">
        <f t="shared" si="22"/>
        <v xml:space="preserve"> </v>
      </c>
      <c r="M71" t="str">
        <f t="shared" si="23"/>
        <v xml:space="preserve"> </v>
      </c>
      <c r="N71">
        <f t="shared" si="24"/>
        <v>0</v>
      </c>
      <c r="P71" s="6"/>
      <c r="Q71" s="11" t="s">
        <v>20</v>
      </c>
      <c r="R71" s="26">
        <f>B7</f>
        <v>0</v>
      </c>
      <c r="S71" s="23">
        <f>IF(R71=0,0,(LOOKUP(R71,Q12:Q16,R12:R16)))</f>
        <v>0</v>
      </c>
    </row>
    <row r="72" spans="1:19" ht="16.5" thickTop="1" thickBot="1" x14ac:dyDescent="0.3">
      <c r="A72" s="1">
        <v>51</v>
      </c>
      <c r="B72" s="1" t="str">
        <f t="shared" si="13"/>
        <v/>
      </c>
      <c r="C72" s="3" t="str">
        <f t="shared" si="25"/>
        <v xml:space="preserve"> </v>
      </c>
      <c r="D72" s="3" t="str">
        <f t="shared" si="14"/>
        <v xml:space="preserve"> </v>
      </c>
      <c r="E72" s="1" t="str">
        <f t="shared" si="15"/>
        <v xml:space="preserve"> </v>
      </c>
      <c r="F72" s="4" t="str">
        <f t="shared" si="16"/>
        <v xml:space="preserve"> </v>
      </c>
      <c r="G72" s="4" t="str">
        <f t="shared" si="17"/>
        <v xml:space="preserve"> </v>
      </c>
      <c r="H72" s="40" t="str">
        <f t="shared" si="18"/>
        <v xml:space="preserve"> </v>
      </c>
      <c r="I72" s="40" t="str">
        <f t="shared" si="19"/>
        <v xml:space="preserve"> </v>
      </c>
      <c r="J72" s="40" t="str">
        <f t="shared" si="20"/>
        <v xml:space="preserve"> </v>
      </c>
      <c r="K72" s="40" t="str">
        <f t="shared" si="21"/>
        <v xml:space="preserve"> </v>
      </c>
      <c r="L72" s="40" t="str">
        <f t="shared" si="22"/>
        <v xml:space="preserve"> </v>
      </c>
      <c r="M72" t="str">
        <f t="shared" si="23"/>
        <v xml:space="preserve"> </v>
      </c>
      <c r="N72">
        <f t="shared" si="24"/>
        <v>0</v>
      </c>
      <c r="P72" s="6"/>
      <c r="Q72" s="11" t="s">
        <v>27</v>
      </c>
      <c r="R72" s="26">
        <f>B8</f>
        <v>8</v>
      </c>
      <c r="S72" s="23">
        <f>IF(R72=0,0,(LOOKUP(R72,Q12:Q16,R12:R16)))</f>
        <v>10.5</v>
      </c>
    </row>
    <row r="73" spans="1:19" ht="16.5" thickTop="1" thickBot="1" x14ac:dyDescent="0.3">
      <c r="A73" s="1">
        <v>52</v>
      </c>
      <c r="B73" s="1" t="str">
        <f t="shared" si="13"/>
        <v/>
      </c>
      <c r="C73" s="3" t="str">
        <f t="shared" si="25"/>
        <v xml:space="preserve"> </v>
      </c>
      <c r="D73" s="3" t="str">
        <f t="shared" si="14"/>
        <v xml:space="preserve"> </v>
      </c>
      <c r="E73" s="1" t="str">
        <f t="shared" si="15"/>
        <v xml:space="preserve"> </v>
      </c>
      <c r="F73" s="4" t="str">
        <f t="shared" si="16"/>
        <v xml:space="preserve"> </v>
      </c>
      <c r="G73" s="4" t="str">
        <f t="shared" si="17"/>
        <v xml:space="preserve"> </v>
      </c>
      <c r="H73" s="40" t="str">
        <f t="shared" si="18"/>
        <v xml:space="preserve"> </v>
      </c>
      <c r="I73" s="40" t="str">
        <f t="shared" si="19"/>
        <v xml:space="preserve"> </v>
      </c>
      <c r="J73" s="40" t="str">
        <f t="shared" si="20"/>
        <v xml:space="preserve"> </v>
      </c>
      <c r="K73" s="40" t="str">
        <f t="shared" si="21"/>
        <v xml:space="preserve"> </v>
      </c>
      <c r="L73" s="40" t="str">
        <f t="shared" si="22"/>
        <v xml:space="preserve"> </v>
      </c>
      <c r="M73" t="str">
        <f t="shared" si="23"/>
        <v xml:space="preserve"> </v>
      </c>
      <c r="N73">
        <f t="shared" si="24"/>
        <v>0</v>
      </c>
      <c r="P73" s="6"/>
      <c r="Q73" s="11" t="s">
        <v>44</v>
      </c>
      <c r="R73" s="27">
        <f>B9</f>
        <v>0</v>
      </c>
      <c r="S73" s="23">
        <f>R73*R8</f>
        <v>0</v>
      </c>
    </row>
    <row r="74" spans="1:19" ht="16.5" thickTop="1" thickBot="1" x14ac:dyDescent="0.3">
      <c r="A74" s="1">
        <v>53</v>
      </c>
      <c r="B74" s="1" t="str">
        <f t="shared" si="13"/>
        <v/>
      </c>
      <c r="C74" s="3" t="str">
        <f t="shared" si="25"/>
        <v xml:space="preserve"> </v>
      </c>
      <c r="D74" s="3" t="str">
        <f t="shared" si="14"/>
        <v xml:space="preserve"> </v>
      </c>
      <c r="E74" s="1" t="str">
        <f t="shared" si="15"/>
        <v xml:space="preserve"> </v>
      </c>
      <c r="F74" s="4" t="str">
        <f t="shared" si="16"/>
        <v xml:space="preserve"> </v>
      </c>
      <c r="G74" s="4" t="str">
        <f t="shared" si="17"/>
        <v xml:space="preserve"> </v>
      </c>
      <c r="H74" s="40" t="str">
        <f t="shared" si="18"/>
        <v xml:space="preserve"> </v>
      </c>
      <c r="I74" s="40" t="str">
        <f t="shared" si="19"/>
        <v xml:space="preserve"> </v>
      </c>
      <c r="J74" s="40" t="str">
        <f t="shared" si="20"/>
        <v xml:space="preserve"> </v>
      </c>
      <c r="K74" s="40" t="str">
        <f t="shared" si="21"/>
        <v xml:space="preserve"> </v>
      </c>
      <c r="L74" s="40" t="str">
        <f t="shared" si="22"/>
        <v xml:space="preserve"> </v>
      </c>
      <c r="M74" t="str">
        <f t="shared" si="23"/>
        <v xml:space="preserve"> </v>
      </c>
      <c r="N74">
        <f t="shared" si="24"/>
        <v>0</v>
      </c>
      <c r="P74" s="6"/>
      <c r="Q74" s="11" t="s">
        <v>43</v>
      </c>
      <c r="R74" s="27">
        <f>B9</f>
        <v>0</v>
      </c>
      <c r="S74" s="23">
        <f>R74*R9</f>
        <v>0</v>
      </c>
    </row>
    <row r="75" spans="1:19" ht="16.5" thickTop="1" thickBot="1" x14ac:dyDescent="0.3">
      <c r="A75" s="1">
        <v>54</v>
      </c>
      <c r="B75" s="1" t="str">
        <f t="shared" si="13"/>
        <v/>
      </c>
      <c r="C75" s="3" t="str">
        <f t="shared" si="25"/>
        <v xml:space="preserve"> </v>
      </c>
      <c r="D75" s="3" t="str">
        <f t="shared" si="14"/>
        <v xml:space="preserve"> </v>
      </c>
      <c r="E75" s="1" t="str">
        <f t="shared" si="15"/>
        <v xml:space="preserve"> </v>
      </c>
      <c r="F75" s="4" t="str">
        <f t="shared" si="16"/>
        <v xml:space="preserve"> </v>
      </c>
      <c r="G75" s="4" t="str">
        <f t="shared" si="17"/>
        <v xml:space="preserve"> </v>
      </c>
      <c r="H75" s="40" t="str">
        <f t="shared" si="18"/>
        <v xml:space="preserve"> </v>
      </c>
      <c r="I75" s="40" t="str">
        <f t="shared" si="19"/>
        <v xml:space="preserve"> </v>
      </c>
      <c r="J75" s="40" t="str">
        <f t="shared" si="20"/>
        <v xml:space="preserve"> </v>
      </c>
      <c r="K75" s="40" t="str">
        <f t="shared" si="21"/>
        <v xml:space="preserve"> </v>
      </c>
      <c r="L75" s="40" t="str">
        <f t="shared" si="22"/>
        <v xml:space="preserve"> </v>
      </c>
      <c r="M75" t="str">
        <f t="shared" si="23"/>
        <v xml:space="preserve"> </v>
      </c>
      <c r="N75">
        <f t="shared" si="24"/>
        <v>0</v>
      </c>
      <c r="P75" s="6"/>
      <c r="Q75" s="11" t="s">
        <v>45</v>
      </c>
      <c r="R75" s="23"/>
      <c r="S75" s="23">
        <f>SUM(S69:S73)</f>
        <v>11.9</v>
      </c>
    </row>
    <row r="76" spans="1:19" ht="16.5" thickTop="1" thickBot="1" x14ac:dyDescent="0.3">
      <c r="A76" s="1">
        <v>55</v>
      </c>
      <c r="B76" s="1" t="str">
        <f t="shared" si="13"/>
        <v/>
      </c>
      <c r="C76" s="3" t="str">
        <f t="shared" si="25"/>
        <v xml:space="preserve"> </v>
      </c>
      <c r="D76" s="3" t="str">
        <f t="shared" si="14"/>
        <v xml:space="preserve"> </v>
      </c>
      <c r="E76" s="1" t="str">
        <f t="shared" si="15"/>
        <v xml:space="preserve"> </v>
      </c>
      <c r="F76" s="4" t="str">
        <f t="shared" si="16"/>
        <v xml:space="preserve"> </v>
      </c>
      <c r="G76" s="4" t="str">
        <f t="shared" si="17"/>
        <v xml:space="preserve"> </v>
      </c>
      <c r="H76" s="40" t="str">
        <f t="shared" si="18"/>
        <v xml:space="preserve"> </v>
      </c>
      <c r="I76" s="40" t="str">
        <f t="shared" si="19"/>
        <v xml:space="preserve"> </v>
      </c>
      <c r="J76" s="40" t="str">
        <f t="shared" si="20"/>
        <v xml:space="preserve"> </v>
      </c>
      <c r="K76" s="40" t="str">
        <f t="shared" si="21"/>
        <v xml:space="preserve"> </v>
      </c>
      <c r="L76" s="40" t="str">
        <f t="shared" si="22"/>
        <v xml:space="preserve"> </v>
      </c>
      <c r="M76" t="str">
        <f t="shared" si="23"/>
        <v xml:space="preserve"> </v>
      </c>
      <c r="N76">
        <f t="shared" si="24"/>
        <v>0</v>
      </c>
      <c r="P76" s="6"/>
      <c r="Q76" s="11" t="s">
        <v>46</v>
      </c>
      <c r="R76" s="23"/>
      <c r="S76" s="23">
        <f>SUM(S69:S72,S74)</f>
        <v>11.9</v>
      </c>
    </row>
    <row r="77" spans="1:19" ht="15.75" thickTop="1" x14ac:dyDescent="0.25">
      <c r="A77" s="1">
        <v>56</v>
      </c>
      <c r="B77" s="1" t="str">
        <f t="shared" si="13"/>
        <v/>
      </c>
      <c r="C77" s="3" t="str">
        <f t="shared" si="25"/>
        <v xml:space="preserve"> </v>
      </c>
      <c r="D77" s="3" t="str">
        <f t="shared" si="14"/>
        <v xml:space="preserve"> </v>
      </c>
      <c r="E77" s="1" t="str">
        <f t="shared" si="15"/>
        <v xml:space="preserve"> </v>
      </c>
      <c r="F77" s="4" t="str">
        <f t="shared" si="16"/>
        <v xml:space="preserve"> </v>
      </c>
      <c r="G77" s="4" t="str">
        <f t="shared" si="17"/>
        <v xml:space="preserve"> </v>
      </c>
      <c r="H77" s="40" t="str">
        <f t="shared" si="18"/>
        <v xml:space="preserve"> </v>
      </c>
      <c r="I77" s="40" t="str">
        <f t="shared" si="19"/>
        <v xml:space="preserve"> </v>
      </c>
      <c r="J77" s="40" t="str">
        <f t="shared" si="20"/>
        <v xml:space="preserve"> </v>
      </c>
      <c r="K77" s="40" t="str">
        <f t="shared" si="21"/>
        <v xml:space="preserve"> </v>
      </c>
      <c r="L77" s="40" t="str">
        <f t="shared" si="22"/>
        <v xml:space="preserve"> </v>
      </c>
      <c r="M77" t="str">
        <f t="shared" si="23"/>
        <v xml:space="preserve"> </v>
      </c>
      <c r="N77">
        <f t="shared" si="24"/>
        <v>0</v>
      </c>
      <c r="P77" s="6"/>
      <c r="Q77"/>
    </row>
    <row r="78" spans="1:19" ht="15.75" thickBot="1" x14ac:dyDescent="0.3">
      <c r="A78" s="1">
        <v>57</v>
      </c>
      <c r="B78" s="1" t="str">
        <f t="shared" si="13"/>
        <v/>
      </c>
      <c r="C78" s="3" t="str">
        <f t="shared" si="25"/>
        <v xml:space="preserve"> </v>
      </c>
      <c r="D78" s="3" t="str">
        <f t="shared" si="14"/>
        <v xml:space="preserve"> </v>
      </c>
      <c r="E78" s="1" t="str">
        <f t="shared" si="15"/>
        <v xml:space="preserve"> </v>
      </c>
      <c r="F78" s="4" t="str">
        <f t="shared" si="16"/>
        <v xml:space="preserve"> </v>
      </c>
      <c r="G78" s="4" t="str">
        <f t="shared" si="17"/>
        <v xml:space="preserve"> </v>
      </c>
      <c r="H78" s="40" t="str">
        <f t="shared" si="18"/>
        <v xml:space="preserve"> </v>
      </c>
      <c r="I78" s="40" t="str">
        <f t="shared" si="19"/>
        <v xml:space="preserve"> </v>
      </c>
      <c r="J78" s="40" t="str">
        <f t="shared" si="20"/>
        <v xml:space="preserve"> </v>
      </c>
      <c r="K78" s="40" t="str">
        <f t="shared" si="21"/>
        <v xml:space="preserve"> </v>
      </c>
      <c r="L78" s="40" t="str">
        <f t="shared" si="22"/>
        <v xml:space="preserve"> </v>
      </c>
      <c r="M78" t="str">
        <f t="shared" si="23"/>
        <v xml:space="preserve"> </v>
      </c>
      <c r="N78">
        <f t="shared" si="24"/>
        <v>0</v>
      </c>
      <c r="P78" s="6"/>
      <c r="Q78" s="55" t="s">
        <v>57</v>
      </c>
      <c r="R78" s="55"/>
      <c r="S78" s="55"/>
    </row>
    <row r="79" spans="1:19" ht="16.5" thickTop="1" thickBot="1" x14ac:dyDescent="0.3">
      <c r="A79" s="1">
        <v>58</v>
      </c>
      <c r="B79" s="1" t="str">
        <f t="shared" si="13"/>
        <v/>
      </c>
      <c r="C79" s="3" t="str">
        <f t="shared" si="25"/>
        <v xml:space="preserve"> </v>
      </c>
      <c r="D79" s="3" t="str">
        <f t="shared" si="14"/>
        <v xml:space="preserve"> </v>
      </c>
      <c r="E79" s="1" t="str">
        <f t="shared" si="15"/>
        <v xml:space="preserve"> </v>
      </c>
      <c r="F79" s="4" t="str">
        <f t="shared" si="16"/>
        <v xml:space="preserve"> </v>
      </c>
      <c r="G79" s="4" t="str">
        <f t="shared" si="17"/>
        <v xml:space="preserve"> </v>
      </c>
      <c r="H79" s="40" t="str">
        <f t="shared" si="18"/>
        <v xml:space="preserve"> </v>
      </c>
      <c r="I79" s="40" t="str">
        <f t="shared" si="19"/>
        <v xml:space="preserve"> </v>
      </c>
      <c r="J79" s="40" t="str">
        <f t="shared" si="20"/>
        <v xml:space="preserve"> </v>
      </c>
      <c r="K79" s="40" t="str">
        <f t="shared" si="21"/>
        <v xml:space="preserve"> </v>
      </c>
      <c r="L79" s="40" t="str">
        <f t="shared" si="22"/>
        <v xml:space="preserve"> </v>
      </c>
      <c r="M79" t="str">
        <f t="shared" si="23"/>
        <v xml:space="preserve"> </v>
      </c>
      <c r="N79">
        <f t="shared" si="24"/>
        <v>0</v>
      </c>
      <c r="P79" s="6"/>
      <c r="Q79" s="11" t="s">
        <v>21</v>
      </c>
      <c r="R79" s="23">
        <v>0.35</v>
      </c>
      <c r="S79" s="23">
        <f>(B10*R79/1000)+S80</f>
        <v>0.2525</v>
      </c>
    </row>
    <row r="80" spans="1:19" ht="16.5" thickTop="1" thickBot="1" x14ac:dyDescent="0.3">
      <c r="A80" s="1">
        <v>59</v>
      </c>
      <c r="B80" s="1" t="str">
        <f t="shared" si="13"/>
        <v/>
      </c>
      <c r="C80" s="3" t="str">
        <f t="shared" si="25"/>
        <v xml:space="preserve"> </v>
      </c>
      <c r="D80" s="3" t="str">
        <f t="shared" si="14"/>
        <v xml:space="preserve"> </v>
      </c>
      <c r="E80" s="1" t="str">
        <f t="shared" si="15"/>
        <v xml:space="preserve"> </v>
      </c>
      <c r="F80" s="4" t="str">
        <f t="shared" si="16"/>
        <v xml:space="preserve"> </v>
      </c>
      <c r="G80" s="4" t="str">
        <f t="shared" si="17"/>
        <v xml:space="preserve"> </v>
      </c>
      <c r="H80" s="40" t="str">
        <f t="shared" si="18"/>
        <v xml:space="preserve"> </v>
      </c>
      <c r="I80" s="40" t="str">
        <f t="shared" si="19"/>
        <v xml:space="preserve"> </v>
      </c>
      <c r="J80" s="40" t="str">
        <f t="shared" si="20"/>
        <v xml:space="preserve"> </v>
      </c>
      <c r="K80" s="40" t="str">
        <f t="shared" si="21"/>
        <v xml:space="preserve"> </v>
      </c>
      <c r="L80" s="40" t="str">
        <f t="shared" si="22"/>
        <v xml:space="preserve"> </v>
      </c>
      <c r="M80" t="str">
        <f t="shared" si="23"/>
        <v xml:space="preserve"> </v>
      </c>
      <c r="N80">
        <f t="shared" si="24"/>
        <v>0</v>
      </c>
      <c r="P80" s="6"/>
      <c r="Q80" s="18" t="s">
        <v>41</v>
      </c>
      <c r="R80" s="23">
        <v>2</v>
      </c>
      <c r="S80" s="23">
        <f>R80*R7</f>
        <v>0.2</v>
      </c>
    </row>
    <row r="81" spans="1:14" ht="15.75" thickTop="1" x14ac:dyDescent="0.25">
      <c r="A81" s="1">
        <v>60</v>
      </c>
      <c r="B81" s="1" t="str">
        <f t="shared" si="13"/>
        <v/>
      </c>
      <c r="C81" s="3" t="str">
        <f t="shared" si="25"/>
        <v xml:space="preserve"> </v>
      </c>
      <c r="D81" s="3" t="str">
        <f t="shared" si="14"/>
        <v xml:space="preserve"> </v>
      </c>
      <c r="E81" s="1" t="str">
        <f t="shared" si="15"/>
        <v xml:space="preserve"> </v>
      </c>
      <c r="F81" s="4" t="str">
        <f t="shared" si="16"/>
        <v xml:space="preserve"> </v>
      </c>
      <c r="G81" s="4" t="str">
        <f t="shared" si="17"/>
        <v xml:space="preserve"> </v>
      </c>
      <c r="H81" s="40" t="str">
        <f t="shared" si="18"/>
        <v xml:space="preserve"> </v>
      </c>
      <c r="I81" s="40" t="str">
        <f t="shared" si="19"/>
        <v xml:space="preserve"> </v>
      </c>
      <c r="J81" s="40" t="str">
        <f t="shared" si="20"/>
        <v xml:space="preserve"> </v>
      </c>
      <c r="K81" s="40" t="str">
        <f t="shared" si="21"/>
        <v xml:space="preserve"> </v>
      </c>
      <c r="L81" s="40" t="str">
        <f t="shared" si="22"/>
        <v xml:space="preserve"> </v>
      </c>
      <c r="M81" t="str">
        <f t="shared" si="23"/>
        <v xml:space="preserve"> </v>
      </c>
      <c r="N81">
        <f t="shared" si="24"/>
        <v>0</v>
      </c>
    </row>
    <row r="82" spans="1:14" x14ac:dyDescent="0.25">
      <c r="A82" s="1">
        <v>61</v>
      </c>
      <c r="B82" s="1" t="str">
        <f t="shared" si="13"/>
        <v/>
      </c>
      <c r="C82" s="3" t="str">
        <f t="shared" si="25"/>
        <v xml:space="preserve"> </v>
      </c>
      <c r="D82" s="3" t="str">
        <f t="shared" si="14"/>
        <v xml:space="preserve"> </v>
      </c>
      <c r="E82" s="1" t="str">
        <f t="shared" si="15"/>
        <v xml:space="preserve"> </v>
      </c>
      <c r="F82" s="4" t="str">
        <f t="shared" si="16"/>
        <v xml:space="preserve"> </v>
      </c>
      <c r="G82" s="4" t="str">
        <f t="shared" si="17"/>
        <v xml:space="preserve"> </v>
      </c>
      <c r="H82" s="40" t="str">
        <f t="shared" si="18"/>
        <v xml:space="preserve"> </v>
      </c>
      <c r="I82" s="40" t="str">
        <f t="shared" si="19"/>
        <v xml:space="preserve"> </v>
      </c>
      <c r="J82" s="40" t="str">
        <f t="shared" si="20"/>
        <v xml:space="preserve"> </v>
      </c>
      <c r="K82" s="40" t="str">
        <f t="shared" si="21"/>
        <v xml:space="preserve"> </v>
      </c>
      <c r="L82" s="40" t="str">
        <f t="shared" si="22"/>
        <v xml:space="preserve"> </v>
      </c>
      <c r="M82" t="str">
        <f t="shared" si="23"/>
        <v xml:space="preserve"> </v>
      </c>
      <c r="N82">
        <f t="shared" si="24"/>
        <v>0</v>
      </c>
    </row>
    <row r="83" spans="1:14" x14ac:dyDescent="0.25">
      <c r="A83" s="1">
        <v>62</v>
      </c>
      <c r="B83" s="1" t="str">
        <f t="shared" si="13"/>
        <v/>
      </c>
      <c r="C83" s="3" t="str">
        <f t="shared" si="25"/>
        <v xml:space="preserve"> </v>
      </c>
      <c r="D83" s="3" t="str">
        <f t="shared" si="14"/>
        <v xml:space="preserve"> </v>
      </c>
      <c r="E83" s="1" t="str">
        <f t="shared" si="15"/>
        <v xml:space="preserve"> </v>
      </c>
      <c r="F83" s="4" t="str">
        <f t="shared" si="16"/>
        <v xml:space="preserve"> </v>
      </c>
      <c r="G83" s="4" t="str">
        <f t="shared" si="17"/>
        <v xml:space="preserve"> </v>
      </c>
      <c r="H83" s="40" t="str">
        <f t="shared" si="18"/>
        <v xml:space="preserve"> </v>
      </c>
      <c r="I83" s="40" t="str">
        <f t="shared" si="19"/>
        <v xml:space="preserve"> </v>
      </c>
      <c r="J83" s="40" t="str">
        <f t="shared" si="20"/>
        <v xml:space="preserve"> </v>
      </c>
      <c r="K83" s="40" t="str">
        <f t="shared" si="21"/>
        <v xml:space="preserve"> </v>
      </c>
      <c r="L83" s="40" t="str">
        <f t="shared" si="22"/>
        <v xml:space="preserve"> </v>
      </c>
      <c r="M83" t="str">
        <f t="shared" si="23"/>
        <v xml:space="preserve"> </v>
      </c>
      <c r="N83">
        <f t="shared" si="24"/>
        <v>0</v>
      </c>
    </row>
    <row r="84" spans="1:14" x14ac:dyDescent="0.25">
      <c r="A84" s="1">
        <v>63</v>
      </c>
      <c r="B84" s="1" t="str">
        <f t="shared" si="13"/>
        <v/>
      </c>
      <c r="C84" s="3" t="str">
        <f t="shared" si="25"/>
        <v xml:space="preserve"> </v>
      </c>
      <c r="D84" s="3" t="str">
        <f t="shared" si="14"/>
        <v xml:space="preserve"> </v>
      </c>
      <c r="E84" s="1" t="str">
        <f t="shared" si="15"/>
        <v xml:space="preserve"> </v>
      </c>
      <c r="F84" s="4" t="str">
        <f t="shared" si="16"/>
        <v xml:space="preserve"> </v>
      </c>
      <c r="G84" s="4" t="str">
        <f t="shared" si="17"/>
        <v xml:space="preserve"> </v>
      </c>
      <c r="H84" s="40" t="str">
        <f t="shared" si="18"/>
        <v xml:space="preserve"> </v>
      </c>
      <c r="I84" s="40" t="str">
        <f t="shared" si="19"/>
        <v xml:space="preserve"> </v>
      </c>
      <c r="J84" s="40" t="str">
        <f t="shared" si="20"/>
        <v xml:space="preserve"> </v>
      </c>
      <c r="K84" s="40" t="str">
        <f t="shared" si="21"/>
        <v xml:space="preserve"> </v>
      </c>
      <c r="L84" s="40" t="str">
        <f t="shared" si="22"/>
        <v xml:space="preserve"> </v>
      </c>
      <c r="M84" t="str">
        <f t="shared" si="23"/>
        <v xml:space="preserve"> </v>
      </c>
      <c r="N84">
        <f t="shared" si="24"/>
        <v>0</v>
      </c>
    </row>
    <row r="85" spans="1:14" x14ac:dyDescent="0.25">
      <c r="A85" s="1">
        <v>64</v>
      </c>
      <c r="B85" s="1" t="str">
        <f t="shared" si="13"/>
        <v/>
      </c>
      <c r="C85" s="3" t="str">
        <f t="shared" si="25"/>
        <v xml:space="preserve"> </v>
      </c>
      <c r="D85" s="3" t="str">
        <f t="shared" si="14"/>
        <v xml:space="preserve"> </v>
      </c>
      <c r="E85" s="1" t="str">
        <f t="shared" si="15"/>
        <v xml:space="preserve"> </v>
      </c>
      <c r="F85" s="4" t="str">
        <f t="shared" si="16"/>
        <v xml:space="preserve"> </v>
      </c>
      <c r="G85" s="4" t="str">
        <f t="shared" si="17"/>
        <v xml:space="preserve"> </v>
      </c>
      <c r="H85" s="40" t="str">
        <f t="shared" si="18"/>
        <v xml:space="preserve"> </v>
      </c>
      <c r="I85" s="40" t="str">
        <f t="shared" si="19"/>
        <v xml:space="preserve"> </v>
      </c>
      <c r="J85" s="40" t="str">
        <f t="shared" si="20"/>
        <v xml:space="preserve"> </v>
      </c>
      <c r="K85" s="40" t="str">
        <f t="shared" si="21"/>
        <v xml:space="preserve"> </v>
      </c>
      <c r="L85" s="40" t="str">
        <f t="shared" si="22"/>
        <v xml:space="preserve"> </v>
      </c>
      <c r="M85" t="str">
        <f t="shared" si="23"/>
        <v xml:space="preserve"> </v>
      </c>
      <c r="N85">
        <f t="shared" si="24"/>
        <v>0</v>
      </c>
    </row>
  </sheetData>
  <mergeCells count="19">
    <mergeCell ref="Q39:S39"/>
    <mergeCell ref="Q44:S44"/>
    <mergeCell ref="P4:S4"/>
    <mergeCell ref="A1:S1"/>
    <mergeCell ref="Q68:S68"/>
    <mergeCell ref="A3:B3"/>
    <mergeCell ref="Q78:S78"/>
    <mergeCell ref="A12:B12"/>
    <mergeCell ref="P53:S53"/>
    <mergeCell ref="P58:S58"/>
    <mergeCell ref="P33:S33"/>
    <mergeCell ref="P67:R67"/>
    <mergeCell ref="H20:J20"/>
    <mergeCell ref="K20:M20"/>
    <mergeCell ref="A20:G20"/>
    <mergeCell ref="P19:S19"/>
    <mergeCell ref="Q49:S49"/>
    <mergeCell ref="D3:E3"/>
    <mergeCell ref="Q34:S34"/>
  </mergeCells>
  <conditionalFormatting sqref="K22:M85 E16:I17">
    <cfRule type="colorScale" priority="25">
      <colorScale>
        <cfvo type="num" val="$S$60"/>
        <cfvo type="num" val="$S$60+1"/>
        <cfvo type="num" val="$S$60+3"/>
        <color rgb="FFF8696B"/>
        <color rgb="FFFFFF00"/>
        <color rgb="FF63BE7B"/>
      </colorScale>
    </cfRule>
  </conditionalFormatting>
  <conditionalFormatting sqref="H20:J85 E11:I12">
    <cfRule type="colorScale" priority="27">
      <colorScale>
        <cfvo type="num" val="$S$61"/>
        <cfvo type="num" val="$S$61+1"/>
        <cfvo type="num" val="$S$61+3"/>
        <color rgb="FFF8696B"/>
        <color rgb="FFFFFF00"/>
        <color rgb="FF63BE7B"/>
      </colorScale>
    </cfRule>
  </conditionalFormatting>
  <dataValidations count="3">
    <dataValidation type="list" allowBlank="1" showErrorMessage="1" promptTitle="LASER" prompt="C+_x000a_B+" sqref="B14">
      <formula1>"C+,B+"</formula1>
    </dataValidation>
    <dataValidation type="list" allowBlank="1" showInputMessage="1" showErrorMessage="1" sqref="B7:B8">
      <formula1>"0,2,4,8,16"</formula1>
    </dataValidation>
    <dataValidation type="list" allowBlank="1" showInputMessage="1" showErrorMessage="1" sqref="B15">
      <formula1>"C+,B+"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Plan1</vt:lpstr>
      <vt:lpstr>LASER</vt:lpstr>
      <vt:lpstr>QTDE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Batata</dc:creator>
  <cp:lastModifiedBy>matheus marmentini</cp:lastModifiedBy>
  <dcterms:created xsi:type="dcterms:W3CDTF">2012-10-26T11:00:42Z</dcterms:created>
  <dcterms:modified xsi:type="dcterms:W3CDTF">2017-08-07T23:43:28Z</dcterms:modified>
</cp:coreProperties>
</file>